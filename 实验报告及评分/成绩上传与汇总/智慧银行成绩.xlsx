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xiaoshiishun/微云同步助手(275531137)/qoder工作目录。cnb代码/smartbanking/实验报告及评分/"/>
    </mc:Choice>
  </mc:AlternateContent>
  <xr:revisionPtr revIDLastSave="0" documentId="13_ncr:1_{D3B19B38-C58F-9441-B3C0-FFAD3BF5EE8D}" xr6:coauthVersionLast="47" xr6:coauthVersionMax="47" xr10:uidLastSave="{00000000-0000-0000-0000-000000000000}"/>
  <bookViews>
    <workbookView xWindow="0" yWindow="760" windowWidth="38400" windowHeight="22400" activeTab="1" xr2:uid="{00000000-000D-0000-FFFF-FFFF00000000}"/>
  </bookViews>
  <sheets>
    <sheet name="金融202301" sheetId="2" r:id="rId1"/>
    <sheet name="金融202302" sheetId="3" r:id="rId2"/>
  </sheets>
  <definedNames>
    <definedName name="_xlnm._FilterDatabase" localSheetId="0" hidden="1">金融202301!$A$1:$O$1</definedName>
    <definedName name="_xlnm._FilterDatabase" localSheetId="1" hidden="1">金融202302!$A$1:$J$1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I13" i="2"/>
  <c r="I21" i="2"/>
  <c r="I3" i="2"/>
  <c r="I20" i="2"/>
  <c r="I30" i="2"/>
  <c r="I6" i="2"/>
  <c r="I4" i="2"/>
  <c r="I28" i="2"/>
  <c r="I40" i="2"/>
  <c r="I14" i="2"/>
  <c r="I22" i="2"/>
  <c r="I26" i="2"/>
  <c r="I35" i="2"/>
  <c r="I11" i="2"/>
  <c r="I29" i="2"/>
  <c r="I16" i="2"/>
  <c r="I17" i="2"/>
  <c r="I10" i="2"/>
  <c r="I37" i="2"/>
  <c r="I18" i="2"/>
  <c r="I5" i="2"/>
  <c r="I39" i="2"/>
  <c r="I24" i="2"/>
  <c r="I25" i="2"/>
  <c r="I33" i="2"/>
  <c r="I38" i="2"/>
  <c r="I19" i="2"/>
  <c r="I34" i="2"/>
  <c r="I2" i="2"/>
  <c r="I31" i="2"/>
  <c r="I32" i="2"/>
  <c r="I15" i="2"/>
  <c r="I27" i="2"/>
  <c r="I9" i="2"/>
  <c r="I12" i="2"/>
  <c r="I44" i="2" l="1"/>
  <c r="I44" i="3"/>
</calcChain>
</file>

<file path=xl/sharedStrings.xml><?xml version="1.0" encoding="utf-8"?>
<sst xmlns="http://schemas.openxmlformats.org/spreadsheetml/2006/main" count="445" uniqueCount="230">
  <si>
    <t>班级</t>
  </si>
  <si>
    <t>学号</t>
  </si>
  <si>
    <t>姓名</t>
  </si>
  <si>
    <t>实验一</t>
  </si>
  <si>
    <t>实验二</t>
  </si>
  <si>
    <t>实验三</t>
  </si>
  <si>
    <t>实验四</t>
  </si>
  <si>
    <t>小组作业</t>
  </si>
  <si>
    <t>总分</t>
  </si>
  <si>
    <t>实验一详情</t>
  </si>
  <si>
    <t>实验二详情</t>
  </si>
  <si>
    <t>实验三详情</t>
  </si>
  <si>
    <t>实验四详情</t>
  </si>
  <si>
    <t>小组作业详情</t>
  </si>
  <si>
    <t>金融202301</t>
  </si>
  <si>
    <t>邹彰</t>
  </si>
  <si>
    <t>[合并报告] 文件数:5, 总大小:5209KB, 文本长度:59309</t>
  </si>
  <si>
    <t>[合并报告] 文件数:5, 大小:5209KB, 链接:12个</t>
  </si>
  <si>
    <t>毛春霖</t>
  </si>
  <si>
    <t>[合并报告] 文件数:1, 总大小:5366KB, 文本长度:17796</t>
  </si>
  <si>
    <t>[合并报告] 文件数:1, 大小:5366KB, 链接:15个</t>
  </si>
  <si>
    <t>袁梓婷</t>
  </si>
  <si>
    <t>[合并报告] 文件数:1, 总大小:18452KB, 文本长度:10490</t>
  </si>
  <si>
    <t>[合并报告] 文件数:1, 大小:18452KB, 链接:1个</t>
  </si>
  <si>
    <t>许欣钰</t>
  </si>
  <si>
    <t>[合并报告] 文件数:1, 总大小:3527KB, 文本长度:12830</t>
  </si>
  <si>
    <t>[合并报告] 文件数:1, 大小:3527KB, 链接:2个, 项目部署链接✓</t>
  </si>
  <si>
    <t>景瑞</t>
  </si>
  <si>
    <t>[合并报告] 文件数:1, 总大小:3263KB, 文本长度:20022</t>
  </si>
  <si>
    <t>[合并报告] 文件数:1, 大小:3263KB, 链接:17个, 项目部署链接✓</t>
  </si>
  <si>
    <t>罗一鸣</t>
  </si>
  <si>
    <t>[合并报告] 文件数:1, 总大小:3181KB, 文本长度:12757</t>
  </si>
  <si>
    <t>[合并报告] 文件数:1, 大小:3181KB, 链接:11个</t>
  </si>
  <si>
    <t>杨子逸</t>
  </si>
  <si>
    <t>[合并报告] 文件数:1, 总大小:2519KB, 文本长度:24679</t>
  </si>
  <si>
    <t>[合并报告] 文件数:1, 大小:2519KB, 链接:6个</t>
  </si>
  <si>
    <t>刘玥</t>
  </si>
  <si>
    <t>[合并报告] 文件数:1, 总大小:2928KB, 文本长度:13245</t>
  </si>
  <si>
    <t>[合并报告] 文件数:1, 大小:2928KB, 链接:3个</t>
  </si>
  <si>
    <t>唐婉清</t>
  </si>
  <si>
    <t>[合并报告] 文件数:1, 总大小:3607KB, 文本长度:13392</t>
  </si>
  <si>
    <t>[合并报告] 文件数:1, 大小:3607KB, 链接:2个</t>
  </si>
  <si>
    <t>徐铭谣</t>
  </si>
  <si>
    <t>[合并报告] 文件数:1, 总大小:3990KB, 文本长度:13152</t>
  </si>
  <si>
    <t>[合并报告] 文件数:1, 大小:3990KB, 链接:1个</t>
  </si>
  <si>
    <t>张珀祥</t>
  </si>
  <si>
    <t>[合并报告] 文件数:1, 总大小:3085KB, 文本长度:17212</t>
  </si>
  <si>
    <t>[合并报告] 文件数:1, 大小:3085KB, 链接:2个</t>
  </si>
  <si>
    <t>周子慧</t>
  </si>
  <si>
    <t>[合并报告] 文件数:1, 总大小:3471KB, 文本长度:7120</t>
  </si>
  <si>
    <t>[合并报告] 文件数:1, 大小:3471KB, 链接:13个</t>
  </si>
  <si>
    <t>吴丽媛</t>
  </si>
  <si>
    <t>[合并报告] 文件数:1, 总大小:2664KB, 文本长度:14371</t>
  </si>
  <si>
    <t>[合并报告] 文件数:1, 大小:2664KB, 链接:2个</t>
  </si>
  <si>
    <t>姚倩</t>
  </si>
  <si>
    <t>[合并报告] 文件数:1, 总大小:3250KB, 文本长度:6823</t>
  </si>
  <si>
    <t>[合并报告] 文件数:1, 大小:3250KB</t>
  </si>
  <si>
    <t>朱思尧</t>
  </si>
  <si>
    <t>[合并报告] 文件数:1, 总大小:3290KB, 文本长度:6369</t>
  </si>
  <si>
    <t>[合并报告] 文件数:1, 大小:3290KB</t>
  </si>
  <si>
    <t>徐彤彤</t>
  </si>
  <si>
    <t>[合并报告] 文件数:1, 总大小:4612KB, 文本长度:3129</t>
  </si>
  <si>
    <t>[合并报告] 文件数:1, 大小:4612KB, 链接:2个</t>
  </si>
  <si>
    <t>屈秋顺</t>
  </si>
  <si>
    <t>[合并报告] 文件数:1, 总大小:1097KB, 文本长度:18921</t>
  </si>
  <si>
    <t>[合并报告] 文件数:1, 大小:1097KB, 链接:7个</t>
  </si>
  <si>
    <t>朱余</t>
  </si>
  <si>
    <t>[合并报告] 文件数:1, 总大小:1886KB, 文本长度:5871</t>
  </si>
  <si>
    <t>[合并报告] 文件数:1, 大小:1886KB, 链接:3个, 项目部署链接✓</t>
  </si>
  <si>
    <t>陈宇欢</t>
  </si>
  <si>
    <t>[合并报告] 文件数:1, 总大小:1012KB, 文本长度:21399</t>
  </si>
  <si>
    <t>[合并报告] 文件数:1, 大小:1012KB, 链接:4个</t>
  </si>
  <si>
    <t>刘玉宁</t>
  </si>
  <si>
    <t>[合并报告] 文件数:1, 总大小:1509KB, 文本长度:9095</t>
  </si>
  <si>
    <t>[合并报告] 文件数:1, 大小:1509KB, 链接:3个</t>
  </si>
  <si>
    <t>彭俊茜</t>
  </si>
  <si>
    <t>[合并报告] 文件数:1, 总大小:814KB, 文本长度:19479</t>
  </si>
  <si>
    <t>[合并报告] 文件数:1, 大小:814KB, 链接:13个, 项目部署链接✓</t>
  </si>
  <si>
    <t>彭婉莹</t>
  </si>
  <si>
    <t>[合并报告] 文件数:1, 总大小:1731KB, 文本长度:6405</t>
  </si>
  <si>
    <t>[合并报告] 文件数:1, 大小:1731KB</t>
  </si>
  <si>
    <t>张艺夕</t>
  </si>
  <si>
    <t>[合并报告] 文件数:1, 总大小:1166KB, 文本长度:9846</t>
  </si>
  <si>
    <t>[合并报告] 文件数:1, 大小:1166KB, 链接:2个</t>
  </si>
  <si>
    <t>宋亚蒴</t>
  </si>
  <si>
    <t>[合并报告] 文件数:2, 总大小:4414KB, 文本长度:58489</t>
  </si>
  <si>
    <t>文件数:1, 总大小:18KB, 文本长度:5678</t>
  </si>
  <si>
    <t>文件数:2, 总大小:180KB, 文本长度:15411</t>
  </si>
  <si>
    <t>[合并报告] 文件数:2, 大小:4414KB, 链接:18个</t>
  </si>
  <si>
    <t>罗玉淇</t>
  </si>
  <si>
    <t>[合并报告] 文件数:1, 总大小:1339KB, 文本长度:3497</t>
  </si>
  <si>
    <t>[合并报告] 文件数:1, 大小:1339KB</t>
  </si>
  <si>
    <t>颉荣</t>
  </si>
  <si>
    <t>[合并报告] 文件数:1, 总大小:1990KB, 文本长度:4623</t>
  </si>
  <si>
    <t>[合并报告] 文件数:1, 大小:1990KB</t>
  </si>
  <si>
    <t>王姗妮</t>
  </si>
  <si>
    <t>[合并报告] 文件数:1, 总大小:6858KB, 文本长度:15553</t>
  </si>
  <si>
    <t>未提交</t>
  </si>
  <si>
    <t>杨雯然</t>
  </si>
  <si>
    <t>[合并报告] 文件数:1, 总大小:7110KB, 文本长度:19292</t>
  </si>
  <si>
    <t>[合并报告] 文件数:1, 总大小:7110KB, 文本长度:5000</t>
  </si>
  <si>
    <t>殷章艳</t>
  </si>
  <si>
    <t>[合并报告] 文件数:1, 总大小:1075KB, 文本长度:4572</t>
  </si>
  <si>
    <t>[合并报告] 文件数:1, 大小:1075KB, 链接:2个</t>
  </si>
  <si>
    <t>罗钰铃</t>
  </si>
  <si>
    <t>[合并报告] 文件数:1, 总大小:1083KB, 文本长度:4570</t>
  </si>
  <si>
    <t>[合并报告] 文件数:1, 大小:1083KB</t>
  </si>
  <si>
    <t>刘潇</t>
  </si>
  <si>
    <t>[合并报告] 文件数:1, 总大小:5656KB, 文本长度:9264</t>
  </si>
  <si>
    <t>谢燃</t>
  </si>
  <si>
    <t>[合并报告] 文件数:1, 总大小:1064KB, 文本长度:1572</t>
  </si>
  <si>
    <t>[合并报告] 文件数:1, 大小:1064KB</t>
  </si>
  <si>
    <t>朴祉伊</t>
  </si>
  <si>
    <t>[合并报告] 文件数:1, 总大小:777KB, 文本长度:6120</t>
  </si>
  <si>
    <t>[合并报告] 文件数:1, 大小:777KB, 链接:2个</t>
  </si>
  <si>
    <t>雍雨鑫</t>
  </si>
  <si>
    <t>[合并报告] 文件数:1, 总大小:3923KB, 文本长度:10162</t>
  </si>
  <si>
    <t>何彦霖</t>
  </si>
  <si>
    <t>文件数:1, 总大小:290KB, 文本长度:11814</t>
  </si>
  <si>
    <t>文件数:1, 总大小:194KB, 文本长度:7955</t>
  </si>
  <si>
    <t>文件数:1, 总大小:234KB, 文本长度:10520</t>
  </si>
  <si>
    <t>文件数:1, 总大小:196KB, 文本长度:8675</t>
  </si>
  <si>
    <t>[合并报告] 文件数:1, 大小:1856KB, 链接:18个</t>
  </si>
  <si>
    <t>潘振邦</t>
  </si>
  <si>
    <t>[合并报告] 文件数:1, 总大小:4993KB, 文本长度:5844</t>
  </si>
  <si>
    <t>雷玺瑄</t>
  </si>
  <si>
    <t>[合并报告] 文件数:1, 总大小:68KB, 文本长度:17100</t>
  </si>
  <si>
    <t>[合并报告] 文件数:1, 大小:68KB, 链接:7个</t>
  </si>
  <si>
    <t>罗瑞</t>
  </si>
  <si>
    <t>[合并报告] 文件数:1, 总大小:3317KB, 文本长度:4895</t>
  </si>
  <si>
    <t>王佳煜</t>
  </si>
  <si>
    <t>[合并报告] 文件数:1, 总大小:1575KB, 文本长度:15339</t>
  </si>
  <si>
    <t>杨焰明</t>
  </si>
  <si>
    <t>文件数:1, 总大小:1490KB, 文本长度:1126</t>
  </si>
  <si>
    <t>文件数:1, 总大小:491KB, 文本长度:2834</t>
  </si>
  <si>
    <t>文件数:1, 总大小:967KB, 文本长度:3779</t>
  </si>
  <si>
    <t>文件数:1, 总大小:1386KB, 文本长度:5106</t>
  </si>
  <si>
    <t>石凯欣</t>
  </si>
  <si>
    <t>[合并报告] 文件数:1, 总大小:489KB, 文本长度:14014</t>
  </si>
  <si>
    <t>王斌权</t>
  </si>
  <si>
    <t>文件数:2, 总大小:349KB, 文本长度:10935</t>
  </si>
  <si>
    <t>文件数:2, 总大小:178KB, 文本长度:9454</t>
  </si>
  <si>
    <t>文件数:1, 总大小:217KB, 文本长度:7391</t>
  </si>
  <si>
    <t>金融202302</t>
  </si>
  <si>
    <t>202301768</t>
  </si>
  <si>
    <t>潘东鑫</t>
  </si>
  <si>
    <t>202301758</t>
  </si>
  <si>
    <t>恩珠</t>
  </si>
  <si>
    <t>202301788</t>
  </si>
  <si>
    <t>刘珈名</t>
  </si>
  <si>
    <t>202301775</t>
  </si>
  <si>
    <t>龙玲玲</t>
  </si>
  <si>
    <t>202301777</t>
  </si>
  <si>
    <t>刘纹君</t>
  </si>
  <si>
    <t>202301780</t>
  </si>
  <si>
    <t>吴琪</t>
  </si>
  <si>
    <t>202301767</t>
  </si>
  <si>
    <t>范俊森</t>
  </si>
  <si>
    <t>202300002</t>
  </si>
  <si>
    <t>杜伟聪</t>
  </si>
  <si>
    <t>202301689</t>
  </si>
  <si>
    <t>刘爵闻</t>
  </si>
  <si>
    <t>202302696</t>
  </si>
  <si>
    <t>权昱菲</t>
  </si>
  <si>
    <t>202300869</t>
  </si>
  <si>
    <t>苏杨芯</t>
  </si>
  <si>
    <t>202301773</t>
  </si>
  <si>
    <t>郭果</t>
  </si>
  <si>
    <t>202301794</t>
  </si>
  <si>
    <t>张曦文</t>
  </si>
  <si>
    <t>202301774</t>
  </si>
  <si>
    <t>张心妍</t>
  </si>
  <si>
    <t>202301793</t>
  </si>
  <si>
    <t>黄秋粤</t>
  </si>
  <si>
    <t>202301778</t>
  </si>
  <si>
    <t>唐苑</t>
  </si>
  <si>
    <t>202301782</t>
  </si>
  <si>
    <t>周萍</t>
  </si>
  <si>
    <t>202301789</t>
  </si>
  <si>
    <t>李小萌</t>
  </si>
  <si>
    <t>202301781</t>
  </si>
  <si>
    <t>郭佳雨</t>
  </si>
  <si>
    <t>202301770</t>
  </si>
  <si>
    <t>栗子瑶</t>
  </si>
  <si>
    <t>202301764</t>
  </si>
  <si>
    <t>李旭东</t>
  </si>
  <si>
    <t>202301787</t>
  </si>
  <si>
    <t>陈馨雨</t>
  </si>
  <si>
    <t>202301771</t>
  </si>
  <si>
    <t>周静雯</t>
  </si>
  <si>
    <t>202301779</t>
  </si>
  <si>
    <t>余燕</t>
  </si>
  <si>
    <t>202301763</t>
  </si>
  <si>
    <t>江权</t>
  </si>
  <si>
    <t>202301766</t>
  </si>
  <si>
    <t>赵佳宝</t>
  </si>
  <si>
    <t>202301772</t>
  </si>
  <si>
    <t>权敏</t>
  </si>
  <si>
    <t>202301769</t>
  </si>
  <si>
    <t>蒋思程</t>
  </si>
  <si>
    <t>202302946</t>
  </si>
  <si>
    <t>陈鸿亮</t>
  </si>
  <si>
    <t>202301761</t>
  </si>
  <si>
    <t>骆劲松</t>
  </si>
  <si>
    <t>202301783</t>
  </si>
  <si>
    <t>欧旭荣</t>
  </si>
  <si>
    <t>202301795</t>
  </si>
  <si>
    <t>雷娜</t>
  </si>
  <si>
    <t>202301790</t>
  </si>
  <si>
    <t>柏依琳</t>
  </si>
  <si>
    <t>202301762</t>
  </si>
  <si>
    <t>潘金豆</t>
  </si>
  <si>
    <t>202109396</t>
  </si>
  <si>
    <t>刘浩天</t>
  </si>
  <si>
    <t>202300362</t>
  </si>
  <si>
    <t>夏欣</t>
  </si>
  <si>
    <t>202301785</t>
  </si>
  <si>
    <t>陈曦</t>
  </si>
  <si>
    <t>202301759</t>
  </si>
  <si>
    <t>陈俊杰</t>
  </si>
  <si>
    <t>202301784</t>
  </si>
  <si>
    <t>夏雨欣</t>
  </si>
  <si>
    <t>202301765</t>
  </si>
  <si>
    <t>王新宁</t>
  </si>
  <si>
    <t>202301792</t>
  </si>
  <si>
    <t>刘丹丹</t>
  </si>
  <si>
    <t>202301786</t>
  </si>
  <si>
    <t>王可儿</t>
  </si>
  <si>
    <t>小组作业或提供访问链接加分</t>
    <phoneticPr fontId="1" type="noConversion"/>
  </si>
  <si>
    <t>加分(小组作业优秀或项目提供访问链接)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</si>
</sst>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topLeftCell="A8" zoomScale="150" zoomScaleNormal="150" workbookViewId="0">
      <selection activeCell="T26" sqref="T26"/>
    </sheetView>
  </sheetViews>
  <sheetFormatPr baseColWidth="10" defaultColWidth="8.83203125" defaultRowHeight="14"/>
  <cols>
    <col min="1" max="1" width="18.33203125" customWidth="1"/>
    <col min="2" max="2" width="20" customWidth="1"/>
    <col min="10" max="14" width="0" hidden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229</v>
      </c>
    </row>
    <row r="2" spans="1:15" s="1" customFormat="1">
      <c r="A2" t="s">
        <v>14</v>
      </c>
      <c r="B2">
        <v>202300592</v>
      </c>
      <c r="C2" t="s">
        <v>33</v>
      </c>
      <c r="D2">
        <v>19</v>
      </c>
      <c r="E2">
        <v>19</v>
      </c>
      <c r="F2">
        <v>19</v>
      </c>
      <c r="G2">
        <v>19</v>
      </c>
      <c r="H2">
        <v>18</v>
      </c>
      <c r="I2">
        <f>SUM(D2:H2,O2)</f>
        <v>94</v>
      </c>
      <c r="J2" t="s">
        <v>34</v>
      </c>
      <c r="K2" t="s">
        <v>34</v>
      </c>
      <c r="L2" t="s">
        <v>34</v>
      </c>
      <c r="M2" t="s">
        <v>34</v>
      </c>
      <c r="N2" t="s">
        <v>35</v>
      </c>
      <c r="O2"/>
    </row>
    <row r="3" spans="1:15">
      <c r="A3" t="s">
        <v>14</v>
      </c>
      <c r="B3">
        <v>202301532</v>
      </c>
      <c r="C3" t="s">
        <v>137</v>
      </c>
      <c r="D3">
        <v>18</v>
      </c>
      <c r="E3">
        <v>18</v>
      </c>
      <c r="F3">
        <v>18</v>
      </c>
      <c r="G3">
        <v>18</v>
      </c>
      <c r="H3">
        <v>5</v>
      </c>
      <c r="I3">
        <f>SUM(D3:H3,O3)</f>
        <v>82</v>
      </c>
      <c r="J3" t="s">
        <v>138</v>
      </c>
      <c r="K3" t="s">
        <v>138</v>
      </c>
      <c r="L3" t="s">
        <v>138</v>
      </c>
      <c r="M3" t="s">
        <v>138</v>
      </c>
      <c r="N3" t="s">
        <v>97</v>
      </c>
      <c r="O3">
        <v>5</v>
      </c>
    </row>
    <row r="4" spans="1:15">
      <c r="A4" t="s">
        <v>14</v>
      </c>
      <c r="B4">
        <v>202301721</v>
      </c>
      <c r="C4" t="s">
        <v>123</v>
      </c>
      <c r="D4">
        <v>18</v>
      </c>
      <c r="E4">
        <v>18</v>
      </c>
      <c r="F4">
        <v>18</v>
      </c>
      <c r="G4">
        <v>18</v>
      </c>
      <c r="H4">
        <v>5</v>
      </c>
      <c r="I4">
        <f>SUM(D4:H4,O4)</f>
        <v>82</v>
      </c>
      <c r="J4" t="s">
        <v>124</v>
      </c>
      <c r="K4" t="s">
        <v>124</v>
      </c>
      <c r="L4" t="s">
        <v>124</v>
      </c>
      <c r="M4" t="s">
        <v>124</v>
      </c>
      <c r="N4" t="s">
        <v>97</v>
      </c>
      <c r="O4">
        <v>5</v>
      </c>
    </row>
    <row r="5" spans="1:15">
      <c r="A5" t="s">
        <v>14</v>
      </c>
      <c r="B5">
        <v>202301722</v>
      </c>
      <c r="C5" t="s">
        <v>63</v>
      </c>
      <c r="D5">
        <v>17</v>
      </c>
      <c r="E5">
        <v>17</v>
      </c>
      <c r="F5">
        <v>17</v>
      </c>
      <c r="G5">
        <v>17</v>
      </c>
      <c r="H5">
        <v>18</v>
      </c>
      <c r="I5">
        <f>SUM(D5:H5,O5)</f>
        <v>91</v>
      </c>
      <c r="J5" t="s">
        <v>64</v>
      </c>
      <c r="K5" t="s">
        <v>64</v>
      </c>
      <c r="L5" t="s">
        <v>64</v>
      </c>
      <c r="M5" t="s">
        <v>64</v>
      </c>
      <c r="N5" t="s">
        <v>65</v>
      </c>
      <c r="O5">
        <v>5</v>
      </c>
    </row>
    <row r="6" spans="1:15">
      <c r="A6" t="s">
        <v>14</v>
      </c>
      <c r="B6">
        <v>202301723</v>
      </c>
      <c r="C6" t="s">
        <v>128</v>
      </c>
      <c r="D6">
        <v>18</v>
      </c>
      <c r="E6">
        <v>18</v>
      </c>
      <c r="F6">
        <v>18</v>
      </c>
      <c r="G6">
        <v>18</v>
      </c>
      <c r="H6">
        <v>5</v>
      </c>
      <c r="I6">
        <f>SUM(D6:H6,O6)</f>
        <v>82</v>
      </c>
      <c r="J6" t="s">
        <v>129</v>
      </c>
      <c r="K6" t="s">
        <v>129</v>
      </c>
      <c r="L6" t="s">
        <v>129</v>
      </c>
      <c r="M6" t="s">
        <v>129</v>
      </c>
      <c r="N6" t="s">
        <v>97</v>
      </c>
      <c r="O6">
        <v>5</v>
      </c>
    </row>
    <row r="7" spans="1:15">
      <c r="A7" t="s">
        <v>14</v>
      </c>
      <c r="B7">
        <v>202301724</v>
      </c>
      <c r="C7" t="s">
        <v>45</v>
      </c>
      <c r="D7">
        <v>19</v>
      </c>
      <c r="E7">
        <v>19</v>
      </c>
      <c r="F7">
        <v>19</v>
      </c>
      <c r="G7">
        <v>19</v>
      </c>
      <c r="H7">
        <v>17</v>
      </c>
      <c r="I7">
        <v>92</v>
      </c>
      <c r="J7" t="s">
        <v>46</v>
      </c>
      <c r="K7" t="s">
        <v>46</v>
      </c>
      <c r="L7" t="s">
        <v>46</v>
      </c>
      <c r="M7" t="s">
        <v>46</v>
      </c>
      <c r="N7" t="s">
        <v>47</v>
      </c>
    </row>
    <row r="8" spans="1:15">
      <c r="A8" s="1" t="s">
        <v>14</v>
      </c>
      <c r="B8" s="2">
        <v>202301725</v>
      </c>
      <c r="C8" s="1" t="s">
        <v>109</v>
      </c>
      <c r="D8" s="1">
        <v>16</v>
      </c>
      <c r="E8" s="1">
        <v>16</v>
      </c>
      <c r="F8" s="1">
        <v>16</v>
      </c>
      <c r="G8" s="1">
        <v>16</v>
      </c>
      <c r="H8" s="1">
        <v>15</v>
      </c>
      <c r="I8" s="1">
        <v>80</v>
      </c>
      <c r="J8" s="1" t="s">
        <v>110</v>
      </c>
      <c r="K8" s="1" t="s">
        <v>110</v>
      </c>
      <c r="L8" s="1" t="s">
        <v>110</v>
      </c>
      <c r="M8" s="1" t="s">
        <v>110</v>
      </c>
      <c r="N8" s="1" t="s">
        <v>111</v>
      </c>
      <c r="O8" s="1"/>
    </row>
    <row r="9" spans="1:15">
      <c r="A9" t="s">
        <v>14</v>
      </c>
      <c r="B9">
        <v>202301726</v>
      </c>
      <c r="C9" t="s">
        <v>15</v>
      </c>
      <c r="D9">
        <v>20</v>
      </c>
      <c r="E9">
        <v>20</v>
      </c>
      <c r="F9">
        <v>20</v>
      </c>
      <c r="G9">
        <v>20</v>
      </c>
      <c r="H9">
        <v>5</v>
      </c>
      <c r="I9">
        <f t="shared" ref="I9:I22" si="0">SUM(D9:H9,O9)</f>
        <v>90</v>
      </c>
      <c r="J9" t="s">
        <v>16</v>
      </c>
      <c r="K9" t="s">
        <v>16</v>
      </c>
      <c r="L9" t="s">
        <v>16</v>
      </c>
      <c r="M9" t="s">
        <v>16</v>
      </c>
      <c r="N9" t="s">
        <v>17</v>
      </c>
      <c r="O9">
        <v>5</v>
      </c>
    </row>
    <row r="10" spans="1:15">
      <c r="A10" t="s">
        <v>14</v>
      </c>
      <c r="B10">
        <v>202301727</v>
      </c>
      <c r="C10" t="s">
        <v>72</v>
      </c>
      <c r="D10">
        <v>17</v>
      </c>
      <c r="E10">
        <v>17</v>
      </c>
      <c r="F10">
        <v>17</v>
      </c>
      <c r="G10">
        <v>17</v>
      </c>
      <c r="H10">
        <v>18</v>
      </c>
      <c r="I10">
        <f t="shared" si="0"/>
        <v>86</v>
      </c>
      <c r="J10" t="s">
        <v>73</v>
      </c>
      <c r="K10" t="s">
        <v>73</v>
      </c>
      <c r="L10" t="s">
        <v>73</v>
      </c>
      <c r="M10" t="s">
        <v>73</v>
      </c>
      <c r="N10" t="s">
        <v>74</v>
      </c>
    </row>
    <row r="11" spans="1:15">
      <c r="A11" s="1" t="s">
        <v>14</v>
      </c>
      <c r="B11" s="2">
        <v>202301728</v>
      </c>
      <c r="C11" s="1" t="s">
        <v>84</v>
      </c>
      <c r="D11" s="1">
        <v>15</v>
      </c>
      <c r="E11" s="1">
        <v>15</v>
      </c>
      <c r="F11" s="1">
        <v>19</v>
      </c>
      <c r="G11" s="1">
        <v>14</v>
      </c>
      <c r="H11" s="1">
        <v>18</v>
      </c>
      <c r="I11" s="1">
        <f t="shared" si="0"/>
        <v>81</v>
      </c>
      <c r="J11" s="1" t="s">
        <v>85</v>
      </c>
      <c r="K11" s="1" t="s">
        <v>86</v>
      </c>
      <c r="L11" s="1" t="s">
        <v>85</v>
      </c>
      <c r="M11" s="1" t="s">
        <v>87</v>
      </c>
      <c r="N11" s="1" t="s">
        <v>88</v>
      </c>
      <c r="O11" s="1"/>
    </row>
    <row r="12" spans="1:15" s="1" customFormat="1">
      <c r="A12" s="1" t="s">
        <v>14</v>
      </c>
      <c r="B12" s="2">
        <v>202301729</v>
      </c>
      <c r="C12" s="1" t="s">
        <v>139</v>
      </c>
      <c r="D12" s="1">
        <v>20</v>
      </c>
      <c r="E12" s="1">
        <v>20</v>
      </c>
      <c r="F12" s="1">
        <v>20</v>
      </c>
      <c r="G12" s="1">
        <v>20</v>
      </c>
      <c r="H12" s="1">
        <v>0</v>
      </c>
      <c r="I12" s="1">
        <f t="shared" si="0"/>
        <v>80</v>
      </c>
      <c r="J12" s="1" t="s">
        <v>140</v>
      </c>
      <c r="K12" s="1" t="s">
        <v>141</v>
      </c>
      <c r="L12" s="1" t="s">
        <v>97</v>
      </c>
      <c r="M12" s="1" t="s">
        <v>142</v>
      </c>
      <c r="N12" s="1" t="s">
        <v>97</v>
      </c>
    </row>
    <row r="13" spans="1:15">
      <c r="A13" s="1" t="s">
        <v>14</v>
      </c>
      <c r="B13">
        <v>202301731</v>
      </c>
      <c r="C13" s="1" t="s">
        <v>125</v>
      </c>
      <c r="D13" s="1">
        <v>16</v>
      </c>
      <c r="E13" s="1">
        <v>16</v>
      </c>
      <c r="F13" s="1">
        <v>14</v>
      </c>
      <c r="G13" s="1">
        <v>14</v>
      </c>
      <c r="H13" s="1">
        <v>15</v>
      </c>
      <c r="I13" s="1">
        <f t="shared" si="0"/>
        <v>80</v>
      </c>
      <c r="J13" s="1" t="s">
        <v>126</v>
      </c>
      <c r="K13" s="1" t="s">
        <v>126</v>
      </c>
      <c r="L13" s="1" t="s">
        <v>126</v>
      </c>
      <c r="M13" s="1" t="s">
        <v>126</v>
      </c>
      <c r="N13" s="1" t="s">
        <v>127</v>
      </c>
      <c r="O13" s="1">
        <v>5</v>
      </c>
    </row>
    <row r="14" spans="1:15">
      <c r="A14" t="s">
        <v>14</v>
      </c>
      <c r="B14">
        <v>202301732</v>
      </c>
      <c r="C14" t="s">
        <v>112</v>
      </c>
      <c r="D14">
        <v>16</v>
      </c>
      <c r="E14">
        <v>16</v>
      </c>
      <c r="F14">
        <v>16</v>
      </c>
      <c r="G14">
        <v>16</v>
      </c>
      <c r="H14">
        <v>15</v>
      </c>
      <c r="I14">
        <f t="shared" si="0"/>
        <v>84</v>
      </c>
      <c r="J14" t="s">
        <v>113</v>
      </c>
      <c r="K14" t="s">
        <v>113</v>
      </c>
      <c r="L14" t="s">
        <v>113</v>
      </c>
      <c r="M14" t="s">
        <v>113</v>
      </c>
      <c r="N14" t="s">
        <v>114</v>
      </c>
      <c r="O14">
        <v>5</v>
      </c>
    </row>
    <row r="15" spans="1:15" s="1" customFormat="1">
      <c r="A15" t="s">
        <v>14</v>
      </c>
      <c r="B15">
        <v>202301733</v>
      </c>
      <c r="C15" t="s">
        <v>24</v>
      </c>
      <c r="D15">
        <v>19</v>
      </c>
      <c r="E15">
        <v>19</v>
      </c>
      <c r="F15">
        <v>19</v>
      </c>
      <c r="G15">
        <v>19</v>
      </c>
      <c r="H15">
        <v>10</v>
      </c>
      <c r="I15">
        <f t="shared" si="0"/>
        <v>86</v>
      </c>
      <c r="J15" t="s">
        <v>25</v>
      </c>
      <c r="K15" t="s">
        <v>25</v>
      </c>
      <c r="L15" t="s">
        <v>25</v>
      </c>
      <c r="M15" t="s">
        <v>25</v>
      </c>
      <c r="N15" t="s">
        <v>26</v>
      </c>
      <c r="O15"/>
    </row>
    <row r="16" spans="1:15" s="1" customFormat="1">
      <c r="A16" t="s">
        <v>14</v>
      </c>
      <c r="B16">
        <v>202301734</v>
      </c>
      <c r="C16" t="s">
        <v>78</v>
      </c>
      <c r="D16">
        <v>17</v>
      </c>
      <c r="E16">
        <v>17</v>
      </c>
      <c r="F16">
        <v>17</v>
      </c>
      <c r="G16">
        <v>17</v>
      </c>
      <c r="H16">
        <v>16</v>
      </c>
      <c r="I16">
        <f t="shared" si="0"/>
        <v>89</v>
      </c>
      <c r="J16" t="s">
        <v>79</v>
      </c>
      <c r="K16" t="s">
        <v>79</v>
      </c>
      <c r="L16" t="s">
        <v>79</v>
      </c>
      <c r="M16" t="s">
        <v>79</v>
      </c>
      <c r="N16" t="s">
        <v>80</v>
      </c>
      <c r="O16">
        <v>5</v>
      </c>
    </row>
    <row r="17" spans="1:15">
      <c r="A17" t="s">
        <v>14</v>
      </c>
      <c r="B17">
        <v>202301735</v>
      </c>
      <c r="C17" t="s">
        <v>75</v>
      </c>
      <c r="D17">
        <v>16</v>
      </c>
      <c r="E17">
        <v>16</v>
      </c>
      <c r="F17">
        <v>16</v>
      </c>
      <c r="G17">
        <v>16</v>
      </c>
      <c r="H17">
        <v>20</v>
      </c>
      <c r="I17">
        <f t="shared" si="0"/>
        <v>89</v>
      </c>
      <c r="J17" t="s">
        <v>76</v>
      </c>
      <c r="K17" t="s">
        <v>76</v>
      </c>
      <c r="L17" t="s">
        <v>76</v>
      </c>
      <c r="M17" t="s">
        <v>76</v>
      </c>
      <c r="N17" t="s">
        <v>77</v>
      </c>
      <c r="O17">
        <v>5</v>
      </c>
    </row>
    <row r="18" spans="1:15">
      <c r="A18" t="s">
        <v>14</v>
      </c>
      <c r="B18">
        <v>202301736</v>
      </c>
      <c r="C18" t="s">
        <v>66</v>
      </c>
      <c r="D18">
        <v>17</v>
      </c>
      <c r="E18">
        <v>17</v>
      </c>
      <c r="F18">
        <v>17</v>
      </c>
      <c r="G18">
        <v>17</v>
      </c>
      <c r="H18">
        <v>20</v>
      </c>
      <c r="I18">
        <f t="shared" si="0"/>
        <v>93</v>
      </c>
      <c r="J18" t="s">
        <v>67</v>
      </c>
      <c r="K18" t="s">
        <v>67</v>
      </c>
      <c r="L18" t="s">
        <v>67</v>
      </c>
      <c r="M18" t="s">
        <v>67</v>
      </c>
      <c r="N18" t="s">
        <v>68</v>
      </c>
      <c r="O18">
        <v>5</v>
      </c>
    </row>
    <row r="19" spans="1:15">
      <c r="A19" t="s">
        <v>14</v>
      </c>
      <c r="B19">
        <v>202301737</v>
      </c>
      <c r="C19" t="s">
        <v>39</v>
      </c>
      <c r="D19">
        <v>19</v>
      </c>
      <c r="E19">
        <v>19</v>
      </c>
      <c r="F19">
        <v>19</v>
      </c>
      <c r="G19">
        <v>19</v>
      </c>
      <c r="H19">
        <v>17</v>
      </c>
      <c r="I19">
        <f t="shared" si="0"/>
        <v>93</v>
      </c>
      <c r="J19" t="s">
        <v>40</v>
      </c>
      <c r="K19" t="s">
        <v>40</v>
      </c>
      <c r="L19" t="s">
        <v>40</v>
      </c>
      <c r="M19" t="s">
        <v>40</v>
      </c>
      <c r="N19" t="s">
        <v>41</v>
      </c>
    </row>
    <row r="20" spans="1:15">
      <c r="A20" t="s">
        <v>14</v>
      </c>
      <c r="B20">
        <v>202301738</v>
      </c>
      <c r="C20" t="s">
        <v>132</v>
      </c>
      <c r="D20">
        <v>19</v>
      </c>
      <c r="E20">
        <v>18</v>
      </c>
      <c r="F20">
        <v>18</v>
      </c>
      <c r="G20">
        <v>18</v>
      </c>
      <c r="H20">
        <v>5</v>
      </c>
      <c r="I20">
        <f t="shared" si="0"/>
        <v>83</v>
      </c>
      <c r="J20" t="s">
        <v>133</v>
      </c>
      <c r="K20" t="s">
        <v>134</v>
      </c>
      <c r="L20" t="s">
        <v>135</v>
      </c>
      <c r="M20" t="s">
        <v>136</v>
      </c>
      <c r="N20" t="s">
        <v>97</v>
      </c>
      <c r="O20">
        <v>5</v>
      </c>
    </row>
    <row r="21" spans="1:15">
      <c r="A21" t="s">
        <v>14</v>
      </c>
      <c r="B21">
        <v>202301739</v>
      </c>
      <c r="C21" t="s">
        <v>89</v>
      </c>
      <c r="D21">
        <v>18</v>
      </c>
      <c r="E21">
        <v>18</v>
      </c>
      <c r="F21">
        <v>18</v>
      </c>
      <c r="G21">
        <v>16</v>
      </c>
      <c r="H21">
        <v>16</v>
      </c>
      <c r="I21">
        <f t="shared" si="0"/>
        <v>91</v>
      </c>
      <c r="J21" t="s">
        <v>90</v>
      </c>
      <c r="K21" t="s">
        <v>90</v>
      </c>
      <c r="L21" t="s">
        <v>90</v>
      </c>
      <c r="M21" t="s">
        <v>90</v>
      </c>
      <c r="N21" t="s">
        <v>91</v>
      </c>
      <c r="O21">
        <v>5</v>
      </c>
    </row>
    <row r="22" spans="1:15">
      <c r="A22" t="s">
        <v>14</v>
      </c>
      <c r="B22">
        <v>202301740</v>
      </c>
      <c r="C22" t="s">
        <v>107</v>
      </c>
      <c r="D22">
        <v>20</v>
      </c>
      <c r="E22">
        <v>20</v>
      </c>
      <c r="F22">
        <v>20</v>
      </c>
      <c r="G22">
        <v>20</v>
      </c>
      <c r="H22">
        <v>0</v>
      </c>
      <c r="I22">
        <f t="shared" si="0"/>
        <v>85</v>
      </c>
      <c r="J22" t="s">
        <v>108</v>
      </c>
      <c r="K22" t="s">
        <v>108</v>
      </c>
      <c r="L22" t="s">
        <v>108</v>
      </c>
      <c r="M22" t="s">
        <v>108</v>
      </c>
      <c r="N22" t="s">
        <v>97</v>
      </c>
      <c r="O22">
        <v>5</v>
      </c>
    </row>
    <row r="23" spans="1:15">
      <c r="A23" s="1" t="s">
        <v>14</v>
      </c>
      <c r="B23" s="2">
        <v>202301741</v>
      </c>
      <c r="C23" s="1" t="s">
        <v>101</v>
      </c>
      <c r="D23" s="1">
        <v>16</v>
      </c>
      <c r="E23" s="1">
        <v>16</v>
      </c>
      <c r="F23" s="1">
        <v>16</v>
      </c>
      <c r="G23" s="1">
        <v>16</v>
      </c>
      <c r="H23" s="1">
        <v>15</v>
      </c>
      <c r="I23" s="1">
        <v>80</v>
      </c>
      <c r="J23" s="1" t="s">
        <v>102</v>
      </c>
      <c r="K23" s="1" t="s">
        <v>102</v>
      </c>
      <c r="L23" s="1" t="s">
        <v>102</v>
      </c>
      <c r="M23" s="1" t="s">
        <v>102</v>
      </c>
      <c r="N23" s="1" t="s">
        <v>103</v>
      </c>
      <c r="O23" s="1"/>
    </row>
    <row r="24" spans="1:15">
      <c r="A24" t="s">
        <v>14</v>
      </c>
      <c r="B24">
        <v>202301742</v>
      </c>
      <c r="C24" t="s">
        <v>54</v>
      </c>
      <c r="D24">
        <v>18</v>
      </c>
      <c r="E24">
        <v>18</v>
      </c>
      <c r="F24">
        <v>18</v>
      </c>
      <c r="G24">
        <v>18</v>
      </c>
      <c r="H24">
        <v>17</v>
      </c>
      <c r="I24">
        <f t="shared" ref="I24:I40" si="1">SUM(D24:H24,O24)</f>
        <v>94</v>
      </c>
      <c r="J24" t="s">
        <v>55</v>
      </c>
      <c r="K24" t="s">
        <v>55</v>
      </c>
      <c r="L24" t="s">
        <v>55</v>
      </c>
      <c r="M24" t="s">
        <v>55</v>
      </c>
      <c r="N24" t="s">
        <v>56</v>
      </c>
      <c r="O24">
        <v>5</v>
      </c>
    </row>
    <row r="25" spans="1:15" s="1" customFormat="1">
      <c r="A25" t="s">
        <v>14</v>
      </c>
      <c r="B25">
        <v>202301743</v>
      </c>
      <c r="C25" t="s">
        <v>51</v>
      </c>
      <c r="D25">
        <v>19</v>
      </c>
      <c r="E25">
        <v>19</v>
      </c>
      <c r="F25">
        <v>19</v>
      </c>
      <c r="G25">
        <v>19</v>
      </c>
      <c r="H25">
        <v>16</v>
      </c>
      <c r="I25">
        <f t="shared" si="1"/>
        <v>97</v>
      </c>
      <c r="J25" t="s">
        <v>52</v>
      </c>
      <c r="K25" t="s">
        <v>52</v>
      </c>
      <c r="L25" t="s">
        <v>52</v>
      </c>
      <c r="M25" t="s">
        <v>52</v>
      </c>
      <c r="N25" t="s">
        <v>53</v>
      </c>
      <c r="O25">
        <v>5</v>
      </c>
    </row>
    <row r="26" spans="1:15">
      <c r="A26" t="s">
        <v>14</v>
      </c>
      <c r="B26">
        <v>202301744</v>
      </c>
      <c r="C26" t="s">
        <v>104</v>
      </c>
      <c r="D26">
        <v>16</v>
      </c>
      <c r="E26">
        <v>16</v>
      </c>
      <c r="F26">
        <v>16</v>
      </c>
      <c r="G26">
        <v>16</v>
      </c>
      <c r="H26">
        <v>16</v>
      </c>
      <c r="I26">
        <f t="shared" si="1"/>
        <v>85</v>
      </c>
      <c r="J26" t="s">
        <v>105</v>
      </c>
      <c r="K26" t="s">
        <v>105</v>
      </c>
      <c r="L26" t="s">
        <v>105</v>
      </c>
      <c r="M26" t="s">
        <v>105</v>
      </c>
      <c r="N26" t="s">
        <v>106</v>
      </c>
      <c r="O26">
        <v>5</v>
      </c>
    </row>
    <row r="27" spans="1:15">
      <c r="A27" t="s">
        <v>14</v>
      </c>
      <c r="B27">
        <v>202301745</v>
      </c>
      <c r="C27" t="s">
        <v>21</v>
      </c>
      <c r="D27">
        <v>20</v>
      </c>
      <c r="E27">
        <v>20</v>
      </c>
      <c r="F27">
        <v>20</v>
      </c>
      <c r="G27">
        <v>20</v>
      </c>
      <c r="H27">
        <v>17</v>
      </c>
      <c r="I27">
        <f t="shared" si="1"/>
        <v>97</v>
      </c>
      <c r="J27" t="s">
        <v>22</v>
      </c>
      <c r="K27" t="s">
        <v>22</v>
      </c>
      <c r="L27" t="s">
        <v>22</v>
      </c>
      <c r="M27" t="s">
        <v>22</v>
      </c>
      <c r="N27" t="s">
        <v>23</v>
      </c>
    </row>
    <row r="28" spans="1:15">
      <c r="A28" t="s">
        <v>14</v>
      </c>
      <c r="B28">
        <v>202301746</v>
      </c>
      <c r="C28" t="s">
        <v>117</v>
      </c>
      <c r="D28">
        <v>18</v>
      </c>
      <c r="E28">
        <v>18</v>
      </c>
      <c r="F28">
        <v>15</v>
      </c>
      <c r="G28">
        <v>15</v>
      </c>
      <c r="H28">
        <v>20</v>
      </c>
      <c r="I28">
        <f t="shared" si="1"/>
        <v>91</v>
      </c>
      <c r="J28" t="s">
        <v>118</v>
      </c>
      <c r="K28" t="s">
        <v>119</v>
      </c>
      <c r="L28" t="s">
        <v>120</v>
      </c>
      <c r="M28" t="s">
        <v>121</v>
      </c>
      <c r="N28" t="s">
        <v>122</v>
      </c>
      <c r="O28">
        <v>5</v>
      </c>
    </row>
    <row r="29" spans="1:15">
      <c r="A29" t="s">
        <v>14</v>
      </c>
      <c r="B29">
        <v>202301747</v>
      </c>
      <c r="C29" t="s">
        <v>81</v>
      </c>
      <c r="D29">
        <v>17</v>
      </c>
      <c r="E29">
        <v>17</v>
      </c>
      <c r="F29">
        <v>17</v>
      </c>
      <c r="G29">
        <v>17</v>
      </c>
      <c r="H29">
        <v>16</v>
      </c>
      <c r="I29">
        <f t="shared" si="1"/>
        <v>84</v>
      </c>
      <c r="J29" t="s">
        <v>82</v>
      </c>
      <c r="K29" t="s">
        <v>82</v>
      </c>
      <c r="L29" t="s">
        <v>82</v>
      </c>
      <c r="M29" t="s">
        <v>82</v>
      </c>
      <c r="N29" t="s">
        <v>83</v>
      </c>
    </row>
    <row r="30" spans="1:15">
      <c r="A30" t="s">
        <v>14</v>
      </c>
      <c r="B30">
        <v>202301748</v>
      </c>
      <c r="C30" t="s">
        <v>130</v>
      </c>
      <c r="D30">
        <v>18</v>
      </c>
      <c r="E30">
        <v>18</v>
      </c>
      <c r="F30">
        <v>18</v>
      </c>
      <c r="G30">
        <v>17</v>
      </c>
      <c r="H30">
        <v>20</v>
      </c>
      <c r="I30">
        <f t="shared" si="1"/>
        <v>96</v>
      </c>
      <c r="J30" t="s">
        <v>131</v>
      </c>
      <c r="K30" t="s">
        <v>131</v>
      </c>
      <c r="L30" t="s">
        <v>131</v>
      </c>
      <c r="M30" t="s">
        <v>131</v>
      </c>
      <c r="N30" t="s">
        <v>97</v>
      </c>
      <c r="O30">
        <v>5</v>
      </c>
    </row>
    <row r="31" spans="1:15">
      <c r="A31" t="s">
        <v>14</v>
      </c>
      <c r="B31">
        <v>202301749</v>
      </c>
      <c r="C31" t="s">
        <v>30</v>
      </c>
      <c r="D31">
        <v>19</v>
      </c>
      <c r="E31">
        <v>19</v>
      </c>
      <c r="F31">
        <v>19</v>
      </c>
      <c r="G31">
        <v>19</v>
      </c>
      <c r="H31">
        <v>19</v>
      </c>
      <c r="I31">
        <f t="shared" si="1"/>
        <v>100</v>
      </c>
      <c r="J31" t="s">
        <v>31</v>
      </c>
      <c r="K31" t="s">
        <v>31</v>
      </c>
      <c r="L31" t="s">
        <v>31</v>
      </c>
      <c r="M31" t="s">
        <v>31</v>
      </c>
      <c r="N31" t="s">
        <v>32</v>
      </c>
      <c r="O31">
        <v>5</v>
      </c>
    </row>
    <row r="32" spans="1:15">
      <c r="A32" t="s">
        <v>14</v>
      </c>
      <c r="B32">
        <v>202301750</v>
      </c>
      <c r="C32" t="s">
        <v>27</v>
      </c>
      <c r="D32">
        <v>19</v>
      </c>
      <c r="E32">
        <v>19</v>
      </c>
      <c r="F32">
        <v>19</v>
      </c>
      <c r="G32">
        <v>19</v>
      </c>
      <c r="H32">
        <v>20</v>
      </c>
      <c r="I32">
        <f t="shared" si="1"/>
        <v>96</v>
      </c>
      <c r="J32" t="s">
        <v>28</v>
      </c>
      <c r="K32" t="s">
        <v>28</v>
      </c>
      <c r="L32" t="s">
        <v>28</v>
      </c>
      <c r="M32" t="s">
        <v>28</v>
      </c>
      <c r="N32" t="s">
        <v>29</v>
      </c>
    </row>
    <row r="33" spans="1:15">
      <c r="A33" t="s">
        <v>14</v>
      </c>
      <c r="B33">
        <v>202301751</v>
      </c>
      <c r="C33" t="s">
        <v>48</v>
      </c>
      <c r="D33">
        <v>18</v>
      </c>
      <c r="E33">
        <v>18</v>
      </c>
      <c r="F33">
        <v>18</v>
      </c>
      <c r="G33">
        <v>18</v>
      </c>
      <c r="H33">
        <v>18</v>
      </c>
      <c r="I33">
        <f t="shared" si="1"/>
        <v>95</v>
      </c>
      <c r="J33" t="s">
        <v>49</v>
      </c>
      <c r="K33" t="s">
        <v>49</v>
      </c>
      <c r="L33" t="s">
        <v>49</v>
      </c>
      <c r="M33" t="s">
        <v>49</v>
      </c>
      <c r="N33" t="s">
        <v>50</v>
      </c>
      <c r="O33">
        <v>5</v>
      </c>
    </row>
    <row r="34" spans="1:15">
      <c r="A34" t="s">
        <v>14</v>
      </c>
      <c r="B34">
        <v>202301752</v>
      </c>
      <c r="C34" t="s">
        <v>36</v>
      </c>
      <c r="D34">
        <v>19</v>
      </c>
      <c r="E34">
        <v>19</v>
      </c>
      <c r="F34">
        <v>19</v>
      </c>
      <c r="G34">
        <v>19</v>
      </c>
      <c r="H34">
        <v>18</v>
      </c>
      <c r="I34">
        <f t="shared" si="1"/>
        <v>99</v>
      </c>
      <c r="J34" t="s">
        <v>37</v>
      </c>
      <c r="K34" t="s">
        <v>37</v>
      </c>
      <c r="L34" t="s">
        <v>37</v>
      </c>
      <c r="M34" t="s">
        <v>37</v>
      </c>
      <c r="N34" t="s">
        <v>38</v>
      </c>
      <c r="O34">
        <v>5</v>
      </c>
    </row>
    <row r="35" spans="1:15">
      <c r="A35" t="s">
        <v>14</v>
      </c>
      <c r="B35">
        <v>202301753</v>
      </c>
      <c r="C35" t="s">
        <v>92</v>
      </c>
      <c r="D35">
        <v>16</v>
      </c>
      <c r="E35">
        <v>16</v>
      </c>
      <c r="F35">
        <v>16</v>
      </c>
      <c r="G35">
        <v>16</v>
      </c>
      <c r="H35">
        <v>16</v>
      </c>
      <c r="I35">
        <f t="shared" si="1"/>
        <v>85</v>
      </c>
      <c r="J35" t="s">
        <v>93</v>
      </c>
      <c r="K35" t="s">
        <v>93</v>
      </c>
      <c r="L35" t="s">
        <v>93</v>
      </c>
      <c r="M35" t="s">
        <v>93</v>
      </c>
      <c r="N35" t="s">
        <v>94</v>
      </c>
      <c r="O35">
        <v>5</v>
      </c>
    </row>
    <row r="36" spans="1:15">
      <c r="A36" t="s">
        <v>14</v>
      </c>
      <c r="B36">
        <v>202301754</v>
      </c>
      <c r="C36" t="s">
        <v>57</v>
      </c>
      <c r="D36">
        <v>20</v>
      </c>
      <c r="E36">
        <v>20</v>
      </c>
      <c r="F36">
        <v>20</v>
      </c>
      <c r="G36">
        <v>20</v>
      </c>
      <c r="H36">
        <v>5</v>
      </c>
      <c r="I36">
        <f t="shared" si="1"/>
        <v>90</v>
      </c>
      <c r="J36" t="s">
        <v>58</v>
      </c>
      <c r="K36" t="s">
        <v>58</v>
      </c>
      <c r="L36" t="s">
        <v>58</v>
      </c>
      <c r="M36" t="s">
        <v>58</v>
      </c>
      <c r="N36" t="s">
        <v>59</v>
      </c>
      <c r="O36">
        <v>5</v>
      </c>
    </row>
    <row r="37" spans="1:15">
      <c r="A37" t="s">
        <v>14</v>
      </c>
      <c r="B37">
        <v>202301755</v>
      </c>
      <c r="C37" t="s">
        <v>69</v>
      </c>
      <c r="D37">
        <v>17</v>
      </c>
      <c r="E37">
        <v>17</v>
      </c>
      <c r="F37">
        <v>17</v>
      </c>
      <c r="G37">
        <v>17</v>
      </c>
      <c r="H37">
        <v>18</v>
      </c>
      <c r="I37">
        <f t="shared" si="1"/>
        <v>91</v>
      </c>
      <c r="J37" t="s">
        <v>70</v>
      </c>
      <c r="K37" t="s">
        <v>70</v>
      </c>
      <c r="L37" t="s">
        <v>70</v>
      </c>
      <c r="M37" t="s">
        <v>70</v>
      </c>
      <c r="N37" t="s">
        <v>71</v>
      </c>
      <c r="O37">
        <v>5</v>
      </c>
    </row>
    <row r="38" spans="1:15">
      <c r="A38" t="s">
        <v>14</v>
      </c>
      <c r="B38">
        <v>202301756</v>
      </c>
      <c r="C38" t="s">
        <v>42</v>
      </c>
      <c r="D38">
        <v>19</v>
      </c>
      <c r="E38">
        <v>19</v>
      </c>
      <c r="F38">
        <v>19</v>
      </c>
      <c r="G38">
        <v>19</v>
      </c>
      <c r="H38">
        <v>17</v>
      </c>
      <c r="I38">
        <f t="shared" si="1"/>
        <v>98</v>
      </c>
      <c r="J38" t="s">
        <v>43</v>
      </c>
      <c r="K38" t="s">
        <v>43</v>
      </c>
      <c r="L38" t="s">
        <v>43</v>
      </c>
      <c r="M38" t="s">
        <v>43</v>
      </c>
      <c r="N38" t="s">
        <v>44</v>
      </c>
      <c r="O38">
        <v>5</v>
      </c>
    </row>
    <row r="39" spans="1:15">
      <c r="A39" t="s">
        <v>14</v>
      </c>
      <c r="B39">
        <v>202301757</v>
      </c>
      <c r="C39" t="s">
        <v>60</v>
      </c>
      <c r="D39">
        <v>18</v>
      </c>
      <c r="E39">
        <v>18</v>
      </c>
      <c r="F39">
        <v>18</v>
      </c>
      <c r="G39">
        <v>18</v>
      </c>
      <c r="H39">
        <v>17</v>
      </c>
      <c r="I39">
        <f t="shared" si="1"/>
        <v>94</v>
      </c>
      <c r="J39" t="s">
        <v>61</v>
      </c>
      <c r="K39" t="s">
        <v>61</v>
      </c>
      <c r="L39" t="s">
        <v>61</v>
      </c>
      <c r="M39" t="s">
        <v>61</v>
      </c>
      <c r="N39" t="s">
        <v>62</v>
      </c>
      <c r="O39">
        <v>5</v>
      </c>
    </row>
    <row r="40" spans="1:15">
      <c r="A40" t="s">
        <v>14</v>
      </c>
      <c r="B40">
        <v>202302306</v>
      </c>
      <c r="C40" t="s">
        <v>115</v>
      </c>
      <c r="D40">
        <v>19</v>
      </c>
      <c r="E40">
        <v>19</v>
      </c>
      <c r="F40">
        <v>19</v>
      </c>
      <c r="G40">
        <v>19</v>
      </c>
      <c r="H40">
        <v>15</v>
      </c>
      <c r="I40">
        <f t="shared" si="1"/>
        <v>91</v>
      </c>
      <c r="J40" t="s">
        <v>116</v>
      </c>
      <c r="K40" t="s">
        <v>116</v>
      </c>
      <c r="L40" t="s">
        <v>116</v>
      </c>
      <c r="M40" t="s">
        <v>116</v>
      </c>
      <c r="N40" t="s">
        <v>97</v>
      </c>
    </row>
    <row r="41" spans="1:15">
      <c r="A41" t="s">
        <v>14</v>
      </c>
      <c r="B41">
        <v>202302584</v>
      </c>
      <c r="C41" t="s">
        <v>95</v>
      </c>
      <c r="D41">
        <v>20</v>
      </c>
      <c r="E41">
        <v>20</v>
      </c>
      <c r="F41">
        <v>20</v>
      </c>
      <c r="G41">
        <v>20</v>
      </c>
      <c r="H41">
        <v>15</v>
      </c>
      <c r="I41">
        <v>98</v>
      </c>
      <c r="J41" t="s">
        <v>96</v>
      </c>
      <c r="K41" t="s">
        <v>96</v>
      </c>
      <c r="L41" t="s">
        <v>96</v>
      </c>
      <c r="M41" t="s">
        <v>96</v>
      </c>
      <c r="N41" t="s">
        <v>97</v>
      </c>
      <c r="O41">
        <v>5</v>
      </c>
    </row>
    <row r="42" spans="1:15">
      <c r="A42" t="s">
        <v>14</v>
      </c>
      <c r="B42">
        <v>202302829</v>
      </c>
      <c r="C42" t="s">
        <v>98</v>
      </c>
      <c r="D42">
        <v>20</v>
      </c>
      <c r="E42">
        <v>20</v>
      </c>
      <c r="F42">
        <v>20</v>
      </c>
      <c r="G42">
        <v>19</v>
      </c>
      <c r="H42">
        <v>16</v>
      </c>
      <c r="I42">
        <v>98</v>
      </c>
      <c r="J42" t="s">
        <v>99</v>
      </c>
      <c r="K42" t="s">
        <v>99</v>
      </c>
      <c r="L42" t="s">
        <v>99</v>
      </c>
      <c r="M42" t="s">
        <v>100</v>
      </c>
      <c r="N42" t="s">
        <v>97</v>
      </c>
      <c r="O42">
        <v>5</v>
      </c>
    </row>
    <row r="43" spans="1:15">
      <c r="A43" t="s">
        <v>14</v>
      </c>
      <c r="B43">
        <v>202302888</v>
      </c>
      <c r="C43" t="s">
        <v>18</v>
      </c>
      <c r="D43">
        <v>20</v>
      </c>
      <c r="E43">
        <v>20</v>
      </c>
      <c r="F43">
        <v>20</v>
      </c>
      <c r="G43">
        <v>20</v>
      </c>
      <c r="H43">
        <v>19</v>
      </c>
      <c r="I43">
        <v>98</v>
      </c>
      <c r="J43" t="s">
        <v>19</v>
      </c>
      <c r="K43" t="s">
        <v>19</v>
      </c>
      <c r="L43" t="s">
        <v>19</v>
      </c>
      <c r="M43" t="s">
        <v>19</v>
      </c>
      <c r="N43" t="s">
        <v>20</v>
      </c>
    </row>
    <row r="44" spans="1:15">
      <c r="I44">
        <f>AVERAGE(I19:I43)</f>
        <v>92.36</v>
      </c>
    </row>
  </sheetData>
  <autoFilter ref="A1:O1" xr:uid="{00000000-0001-0000-0100-000000000000}">
    <sortState xmlns:xlrd2="http://schemas.microsoft.com/office/spreadsheetml/2017/richdata2" ref="A2:O44">
      <sortCondition ref="B1:B44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abSelected="1" topLeftCell="C1" zoomScale="150" zoomScaleNormal="150" workbookViewId="0">
      <selection activeCell="J28" sqref="J28"/>
    </sheetView>
  </sheetViews>
  <sheetFormatPr baseColWidth="10" defaultColWidth="8.83203125" defaultRowHeight="14"/>
  <cols>
    <col min="1" max="1" width="17.6640625" customWidth="1"/>
    <col min="2" max="2" width="25.33203125" customWidth="1"/>
    <col min="4" max="8" width="8.83203125" customWidth="1"/>
    <col min="10" max="10" width="71.6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228</v>
      </c>
    </row>
    <row r="2" spans="1:10">
      <c r="A2" t="s">
        <v>143</v>
      </c>
      <c r="B2" t="s">
        <v>212</v>
      </c>
      <c r="C2" t="s">
        <v>213</v>
      </c>
      <c r="D2">
        <v>18</v>
      </c>
      <c r="E2">
        <v>18</v>
      </c>
      <c r="F2">
        <v>18</v>
      </c>
      <c r="G2">
        <v>18</v>
      </c>
      <c r="H2">
        <v>20</v>
      </c>
      <c r="I2">
        <v>92</v>
      </c>
    </row>
    <row r="3" spans="1:10">
      <c r="A3" t="s">
        <v>143</v>
      </c>
      <c r="B3" t="s">
        <v>158</v>
      </c>
      <c r="C3" t="s">
        <v>159</v>
      </c>
      <c r="D3">
        <v>19</v>
      </c>
      <c r="E3">
        <v>19</v>
      </c>
      <c r="F3">
        <v>19</v>
      </c>
      <c r="G3">
        <v>19</v>
      </c>
      <c r="H3">
        <v>20</v>
      </c>
      <c r="I3">
        <v>96</v>
      </c>
    </row>
    <row r="4" spans="1:10" s="1" customFormat="1">
      <c r="A4" s="1" t="s">
        <v>143</v>
      </c>
      <c r="B4" s="1" t="s">
        <v>214</v>
      </c>
      <c r="C4" s="1" t="s">
        <v>215</v>
      </c>
      <c r="D4" s="1">
        <v>20</v>
      </c>
      <c r="E4" s="1">
        <v>18</v>
      </c>
      <c r="F4" s="1">
        <v>18</v>
      </c>
      <c r="G4" s="1">
        <v>18</v>
      </c>
      <c r="H4" s="1">
        <v>5</v>
      </c>
      <c r="I4" s="1">
        <v>84</v>
      </c>
      <c r="J4" s="1">
        <v>5</v>
      </c>
    </row>
    <row r="5" spans="1:10">
      <c r="A5" t="s">
        <v>143</v>
      </c>
      <c r="B5" t="s">
        <v>164</v>
      </c>
      <c r="C5" t="s">
        <v>165</v>
      </c>
      <c r="D5">
        <v>18</v>
      </c>
      <c r="E5">
        <v>18</v>
      </c>
      <c r="F5">
        <v>18</v>
      </c>
      <c r="G5">
        <v>18</v>
      </c>
      <c r="H5">
        <v>20</v>
      </c>
      <c r="I5">
        <v>92</v>
      </c>
    </row>
    <row r="6" spans="1:10">
      <c r="A6" t="s">
        <v>143</v>
      </c>
      <c r="B6" t="s">
        <v>160</v>
      </c>
      <c r="C6" t="s">
        <v>161</v>
      </c>
      <c r="D6">
        <v>19</v>
      </c>
      <c r="E6">
        <v>19</v>
      </c>
      <c r="F6">
        <v>19</v>
      </c>
      <c r="G6">
        <v>19</v>
      </c>
      <c r="H6">
        <v>20</v>
      </c>
      <c r="I6">
        <v>96</v>
      </c>
    </row>
    <row r="7" spans="1:10">
      <c r="A7" t="s">
        <v>143</v>
      </c>
      <c r="B7" t="s">
        <v>146</v>
      </c>
      <c r="C7" t="s">
        <v>147</v>
      </c>
      <c r="D7">
        <v>20</v>
      </c>
      <c r="E7">
        <v>20</v>
      </c>
      <c r="F7">
        <v>20</v>
      </c>
      <c r="G7">
        <v>20</v>
      </c>
      <c r="H7">
        <v>19</v>
      </c>
      <c r="I7">
        <v>104</v>
      </c>
      <c r="J7">
        <v>5</v>
      </c>
    </row>
    <row r="8" spans="1:10">
      <c r="A8" t="s">
        <v>143</v>
      </c>
      <c r="B8" t="s">
        <v>218</v>
      </c>
      <c r="C8" t="s">
        <v>219</v>
      </c>
      <c r="D8">
        <v>19</v>
      </c>
      <c r="E8">
        <v>17</v>
      </c>
      <c r="F8">
        <v>19</v>
      </c>
      <c r="G8">
        <v>19</v>
      </c>
      <c r="H8">
        <v>5</v>
      </c>
      <c r="I8">
        <v>84</v>
      </c>
      <c r="J8">
        <v>5</v>
      </c>
    </row>
    <row r="9" spans="1:10">
      <c r="A9" t="s">
        <v>143</v>
      </c>
      <c r="B9" t="s">
        <v>202</v>
      </c>
      <c r="C9" t="s">
        <v>203</v>
      </c>
      <c r="D9">
        <v>16</v>
      </c>
      <c r="E9">
        <v>19</v>
      </c>
      <c r="F9">
        <v>15</v>
      </c>
      <c r="G9">
        <v>12</v>
      </c>
      <c r="H9">
        <v>19</v>
      </c>
      <c r="I9">
        <v>86</v>
      </c>
      <c r="J9">
        <v>5</v>
      </c>
    </row>
    <row r="10" spans="1:10" s="1" customFormat="1">
      <c r="A10" s="1" t="s">
        <v>143</v>
      </c>
      <c r="B10" s="1" t="s">
        <v>210</v>
      </c>
      <c r="C10" s="1" t="s">
        <v>211</v>
      </c>
      <c r="D10" s="1">
        <v>18</v>
      </c>
      <c r="E10" s="1">
        <v>18</v>
      </c>
      <c r="F10" s="1">
        <v>16</v>
      </c>
      <c r="G10" s="1">
        <v>15</v>
      </c>
      <c r="H10" s="1">
        <v>12</v>
      </c>
      <c r="I10" s="1">
        <v>84</v>
      </c>
      <c r="J10" s="1">
        <v>5</v>
      </c>
    </row>
    <row r="11" spans="1:10">
      <c r="A11" t="s">
        <v>143</v>
      </c>
      <c r="B11" t="s">
        <v>192</v>
      </c>
      <c r="C11" t="s">
        <v>193</v>
      </c>
      <c r="D11">
        <v>15</v>
      </c>
      <c r="E11">
        <v>16</v>
      </c>
      <c r="F11">
        <v>15</v>
      </c>
      <c r="G11">
        <v>15</v>
      </c>
      <c r="H11">
        <v>20</v>
      </c>
      <c r="I11">
        <v>86</v>
      </c>
      <c r="J11">
        <v>5</v>
      </c>
    </row>
    <row r="12" spans="1:10">
      <c r="A12" t="s">
        <v>143</v>
      </c>
      <c r="B12" t="s">
        <v>184</v>
      </c>
      <c r="C12" t="s">
        <v>185</v>
      </c>
      <c r="D12">
        <v>16</v>
      </c>
      <c r="E12">
        <v>16</v>
      </c>
      <c r="F12">
        <v>16</v>
      </c>
      <c r="G12">
        <v>16</v>
      </c>
      <c r="H12">
        <v>20</v>
      </c>
      <c r="I12">
        <v>84</v>
      </c>
    </row>
    <row r="13" spans="1:10">
      <c r="A13" t="s">
        <v>143</v>
      </c>
      <c r="B13" t="s">
        <v>222</v>
      </c>
      <c r="C13" t="s">
        <v>223</v>
      </c>
      <c r="D13">
        <v>16</v>
      </c>
      <c r="E13">
        <v>16</v>
      </c>
      <c r="F13">
        <v>14</v>
      </c>
      <c r="G13">
        <v>16</v>
      </c>
      <c r="H13">
        <v>20</v>
      </c>
      <c r="I13">
        <v>82</v>
      </c>
    </row>
    <row r="14" spans="1:10">
      <c r="A14" t="s">
        <v>143</v>
      </c>
      <c r="B14" t="s">
        <v>194</v>
      </c>
      <c r="C14" t="s">
        <v>195</v>
      </c>
      <c r="D14">
        <v>15</v>
      </c>
      <c r="E14">
        <v>16</v>
      </c>
      <c r="F14">
        <v>15</v>
      </c>
      <c r="G14">
        <v>14</v>
      </c>
      <c r="H14">
        <v>20</v>
      </c>
      <c r="I14">
        <v>85</v>
      </c>
      <c r="J14">
        <v>5</v>
      </c>
    </row>
    <row r="15" spans="1:10">
      <c r="A15" t="s">
        <v>143</v>
      </c>
      <c r="B15" t="s">
        <v>156</v>
      </c>
      <c r="C15" t="s">
        <v>157</v>
      </c>
      <c r="D15">
        <v>20</v>
      </c>
      <c r="E15">
        <v>20</v>
      </c>
      <c r="F15">
        <v>20</v>
      </c>
      <c r="G15">
        <v>20</v>
      </c>
      <c r="H15">
        <v>15</v>
      </c>
      <c r="I15">
        <v>96</v>
      </c>
      <c r="J15">
        <v>1</v>
      </c>
    </row>
    <row r="16" spans="1:10">
      <c r="A16" t="s">
        <v>143</v>
      </c>
      <c r="B16" t="s">
        <v>144</v>
      </c>
      <c r="C16" t="s">
        <v>145</v>
      </c>
      <c r="D16">
        <v>20</v>
      </c>
      <c r="E16">
        <v>20</v>
      </c>
      <c r="F16">
        <v>20</v>
      </c>
      <c r="G16">
        <v>20</v>
      </c>
      <c r="H16">
        <v>20</v>
      </c>
      <c r="I16">
        <v>100</v>
      </c>
      <c r="J16">
        <v>5</v>
      </c>
    </row>
    <row r="17" spans="1:10">
      <c r="A17" t="s">
        <v>143</v>
      </c>
      <c r="B17" t="s">
        <v>198</v>
      </c>
      <c r="C17" t="s">
        <v>199</v>
      </c>
      <c r="D17">
        <v>14</v>
      </c>
      <c r="E17">
        <v>17</v>
      </c>
      <c r="F17">
        <v>14</v>
      </c>
      <c r="G17">
        <v>13</v>
      </c>
      <c r="H17">
        <v>20</v>
      </c>
      <c r="I17">
        <v>83</v>
      </c>
      <c r="J17">
        <v>5</v>
      </c>
    </row>
    <row r="18" spans="1:10">
      <c r="A18" t="s">
        <v>143</v>
      </c>
      <c r="B18" t="s">
        <v>182</v>
      </c>
      <c r="C18" t="s">
        <v>183</v>
      </c>
      <c r="D18">
        <v>19</v>
      </c>
      <c r="E18">
        <v>19</v>
      </c>
      <c r="F18">
        <v>19</v>
      </c>
      <c r="G18">
        <v>14</v>
      </c>
      <c r="H18">
        <v>18</v>
      </c>
      <c r="I18">
        <v>89</v>
      </c>
    </row>
    <row r="19" spans="1:10">
      <c r="A19" t="s">
        <v>143</v>
      </c>
      <c r="B19" t="s">
        <v>188</v>
      </c>
      <c r="C19" t="s">
        <v>189</v>
      </c>
      <c r="D19">
        <v>17</v>
      </c>
      <c r="E19">
        <v>17</v>
      </c>
      <c r="F19">
        <v>17</v>
      </c>
      <c r="G19">
        <v>17</v>
      </c>
      <c r="H19">
        <v>16</v>
      </c>
      <c r="I19">
        <v>89</v>
      </c>
      <c r="J19">
        <v>5</v>
      </c>
    </row>
    <row r="20" spans="1:10">
      <c r="A20" t="s">
        <v>143</v>
      </c>
      <c r="B20" t="s">
        <v>196</v>
      </c>
      <c r="C20" t="s">
        <v>197</v>
      </c>
      <c r="D20">
        <v>16</v>
      </c>
      <c r="E20">
        <v>16</v>
      </c>
      <c r="F20">
        <v>15</v>
      </c>
      <c r="G20">
        <v>15</v>
      </c>
      <c r="H20">
        <v>19</v>
      </c>
      <c r="I20">
        <v>86</v>
      </c>
      <c r="J20">
        <v>5</v>
      </c>
    </row>
    <row r="21" spans="1:10">
      <c r="A21" t="s">
        <v>143</v>
      </c>
      <c r="B21" t="s">
        <v>166</v>
      </c>
      <c r="C21" t="s">
        <v>167</v>
      </c>
      <c r="D21">
        <v>18</v>
      </c>
      <c r="E21">
        <v>18</v>
      </c>
      <c r="F21">
        <v>18</v>
      </c>
      <c r="G21">
        <v>18</v>
      </c>
      <c r="H21">
        <v>20</v>
      </c>
      <c r="I21">
        <v>92</v>
      </c>
    </row>
    <row r="22" spans="1:10">
      <c r="A22" t="s">
        <v>143</v>
      </c>
      <c r="B22" t="s">
        <v>170</v>
      </c>
      <c r="C22" t="s">
        <v>171</v>
      </c>
      <c r="D22">
        <v>18</v>
      </c>
      <c r="E22">
        <v>18</v>
      </c>
      <c r="F22">
        <v>18</v>
      </c>
      <c r="G22">
        <v>18</v>
      </c>
      <c r="H22">
        <v>18</v>
      </c>
      <c r="I22">
        <v>90</v>
      </c>
    </row>
    <row r="23" spans="1:10">
      <c r="A23" t="s">
        <v>143</v>
      </c>
      <c r="B23" t="s">
        <v>150</v>
      </c>
      <c r="C23" t="s">
        <v>151</v>
      </c>
      <c r="D23">
        <v>20</v>
      </c>
      <c r="E23">
        <v>20</v>
      </c>
      <c r="F23">
        <v>20</v>
      </c>
      <c r="G23">
        <v>20</v>
      </c>
      <c r="H23">
        <v>17</v>
      </c>
      <c r="I23">
        <v>98</v>
      </c>
      <c r="J23">
        <v>1</v>
      </c>
    </row>
    <row r="24" spans="1:10">
      <c r="A24" t="s">
        <v>143</v>
      </c>
      <c r="B24" t="s">
        <v>152</v>
      </c>
      <c r="C24" t="s">
        <v>153</v>
      </c>
      <c r="D24">
        <v>20</v>
      </c>
      <c r="E24">
        <v>20</v>
      </c>
      <c r="F24">
        <v>20</v>
      </c>
      <c r="G24">
        <v>20</v>
      </c>
      <c r="H24">
        <v>17</v>
      </c>
      <c r="I24">
        <v>98</v>
      </c>
      <c r="J24">
        <v>1</v>
      </c>
    </row>
    <row r="25" spans="1:10">
      <c r="A25" t="s">
        <v>143</v>
      </c>
      <c r="B25" t="s">
        <v>174</v>
      </c>
      <c r="C25" t="s">
        <v>175</v>
      </c>
      <c r="D25">
        <v>18</v>
      </c>
      <c r="E25">
        <v>18</v>
      </c>
      <c r="F25">
        <v>18</v>
      </c>
      <c r="G25">
        <v>18</v>
      </c>
      <c r="H25">
        <v>17</v>
      </c>
      <c r="I25">
        <v>89</v>
      </c>
    </row>
    <row r="26" spans="1:10">
      <c r="A26" t="s">
        <v>143</v>
      </c>
      <c r="B26" t="s">
        <v>190</v>
      </c>
      <c r="C26" t="s">
        <v>191</v>
      </c>
      <c r="D26">
        <v>17</v>
      </c>
      <c r="E26">
        <v>17</v>
      </c>
      <c r="F26">
        <v>17</v>
      </c>
      <c r="G26">
        <v>17</v>
      </c>
      <c r="H26">
        <v>16</v>
      </c>
      <c r="I26">
        <v>89</v>
      </c>
      <c r="J26">
        <v>5</v>
      </c>
    </row>
    <row r="27" spans="1:10">
      <c r="A27" t="s">
        <v>143</v>
      </c>
      <c r="B27" t="s">
        <v>154</v>
      </c>
      <c r="C27" t="s">
        <v>155</v>
      </c>
      <c r="D27">
        <v>20</v>
      </c>
      <c r="E27">
        <v>20</v>
      </c>
      <c r="F27">
        <v>20</v>
      </c>
      <c r="G27">
        <v>20</v>
      </c>
      <c r="H27">
        <v>16.8</v>
      </c>
      <c r="I27">
        <v>100</v>
      </c>
      <c r="J27">
        <v>5</v>
      </c>
    </row>
    <row r="28" spans="1:10">
      <c r="A28" t="s">
        <v>143</v>
      </c>
      <c r="B28" t="s">
        <v>180</v>
      </c>
      <c r="C28" t="s">
        <v>181</v>
      </c>
      <c r="D28">
        <v>18</v>
      </c>
      <c r="E28">
        <v>16</v>
      </c>
      <c r="F28">
        <v>17</v>
      </c>
      <c r="G28">
        <v>17</v>
      </c>
      <c r="H28">
        <v>20</v>
      </c>
      <c r="I28">
        <v>88</v>
      </c>
    </row>
    <row r="29" spans="1:10">
      <c r="A29" t="s">
        <v>143</v>
      </c>
      <c r="B29" t="s">
        <v>176</v>
      </c>
      <c r="C29" t="s">
        <v>177</v>
      </c>
      <c r="D29">
        <v>18</v>
      </c>
      <c r="E29">
        <v>18</v>
      </c>
      <c r="F29">
        <v>18</v>
      </c>
      <c r="G29">
        <v>18</v>
      </c>
      <c r="H29">
        <v>17</v>
      </c>
      <c r="I29">
        <v>89</v>
      </c>
    </row>
    <row r="30" spans="1:10" s="1" customFormat="1">
      <c r="A30" s="1" t="s">
        <v>143</v>
      </c>
      <c r="B30" s="1" t="s">
        <v>204</v>
      </c>
      <c r="C30" s="1" t="s">
        <v>205</v>
      </c>
      <c r="D30" s="1">
        <v>20</v>
      </c>
      <c r="E30" s="1">
        <v>20</v>
      </c>
      <c r="F30" s="1">
        <v>16</v>
      </c>
      <c r="G30" s="1">
        <v>14</v>
      </c>
      <c r="H30" s="1">
        <v>15</v>
      </c>
      <c r="I30" s="1">
        <v>90</v>
      </c>
      <c r="J30" s="1">
        <v>5</v>
      </c>
    </row>
    <row r="31" spans="1:10">
      <c r="A31" t="s">
        <v>143</v>
      </c>
      <c r="B31" t="s">
        <v>220</v>
      </c>
      <c r="C31" t="s">
        <v>221</v>
      </c>
      <c r="D31">
        <v>16</v>
      </c>
      <c r="E31">
        <v>15</v>
      </c>
      <c r="F31">
        <v>17</v>
      </c>
      <c r="G31">
        <v>17</v>
      </c>
      <c r="H31">
        <v>20</v>
      </c>
      <c r="I31">
        <v>90</v>
      </c>
      <c r="J31">
        <v>5</v>
      </c>
    </row>
    <row r="32" spans="1:10">
      <c r="A32" t="s">
        <v>143</v>
      </c>
      <c r="B32" t="s">
        <v>216</v>
      </c>
      <c r="C32" t="s">
        <v>217</v>
      </c>
      <c r="D32">
        <v>18</v>
      </c>
      <c r="E32">
        <v>17</v>
      </c>
      <c r="F32">
        <v>18</v>
      </c>
      <c r="G32">
        <v>18</v>
      </c>
      <c r="H32">
        <v>5</v>
      </c>
      <c r="I32">
        <v>81</v>
      </c>
      <c r="J32">
        <v>5</v>
      </c>
    </row>
    <row r="33" spans="1:10" s="1" customFormat="1">
      <c r="A33" s="1" t="s">
        <v>143</v>
      </c>
      <c r="B33" s="1" t="s">
        <v>226</v>
      </c>
      <c r="C33" s="1" t="s">
        <v>227</v>
      </c>
      <c r="D33" s="1">
        <v>20</v>
      </c>
      <c r="E33" s="1">
        <v>20</v>
      </c>
      <c r="F33" s="1">
        <v>18</v>
      </c>
      <c r="G33" s="1">
        <v>18</v>
      </c>
      <c r="H33" s="1">
        <v>20</v>
      </c>
      <c r="I33" s="1">
        <v>100</v>
      </c>
      <c r="J33" s="1">
        <v>5</v>
      </c>
    </row>
    <row r="34" spans="1:10">
      <c r="A34" t="s">
        <v>143</v>
      </c>
      <c r="B34" t="s">
        <v>186</v>
      </c>
      <c r="C34" t="s">
        <v>187</v>
      </c>
      <c r="D34">
        <v>17</v>
      </c>
      <c r="E34">
        <v>17</v>
      </c>
      <c r="F34">
        <v>17</v>
      </c>
      <c r="G34">
        <v>17</v>
      </c>
      <c r="H34">
        <v>18</v>
      </c>
      <c r="I34">
        <v>91</v>
      </c>
      <c r="J34">
        <v>5</v>
      </c>
    </row>
    <row r="35" spans="1:10">
      <c r="A35" t="s">
        <v>143</v>
      </c>
      <c r="B35" t="s">
        <v>148</v>
      </c>
      <c r="C35" t="s">
        <v>149</v>
      </c>
      <c r="D35">
        <v>20</v>
      </c>
      <c r="E35">
        <v>20</v>
      </c>
      <c r="F35">
        <v>20</v>
      </c>
      <c r="G35">
        <v>20</v>
      </c>
      <c r="H35">
        <v>18.5</v>
      </c>
      <c r="I35">
        <v>100</v>
      </c>
      <c r="J35">
        <v>5</v>
      </c>
    </row>
    <row r="36" spans="1:10">
      <c r="A36" t="s">
        <v>143</v>
      </c>
      <c r="B36" t="s">
        <v>178</v>
      </c>
      <c r="C36" t="s">
        <v>179</v>
      </c>
      <c r="D36">
        <v>17</v>
      </c>
      <c r="E36">
        <v>17</v>
      </c>
      <c r="F36">
        <v>17</v>
      </c>
      <c r="G36">
        <v>17</v>
      </c>
      <c r="H36">
        <v>20</v>
      </c>
      <c r="I36">
        <v>88</v>
      </c>
    </row>
    <row r="37" spans="1:10">
      <c r="A37" t="s">
        <v>143</v>
      </c>
      <c r="B37" t="s">
        <v>208</v>
      </c>
      <c r="C37" t="s">
        <v>209</v>
      </c>
      <c r="D37">
        <v>18</v>
      </c>
      <c r="E37">
        <v>18</v>
      </c>
      <c r="F37">
        <v>18</v>
      </c>
      <c r="G37">
        <v>18</v>
      </c>
      <c r="H37">
        <v>12</v>
      </c>
      <c r="I37">
        <v>84</v>
      </c>
    </row>
    <row r="38" spans="1:10">
      <c r="A38" t="s">
        <v>143</v>
      </c>
      <c r="B38" t="s">
        <v>224</v>
      </c>
      <c r="C38" t="s">
        <v>225</v>
      </c>
      <c r="D38">
        <v>18</v>
      </c>
      <c r="E38">
        <v>18</v>
      </c>
      <c r="F38">
        <v>18</v>
      </c>
      <c r="G38">
        <v>18</v>
      </c>
      <c r="H38">
        <v>20</v>
      </c>
      <c r="I38">
        <v>97</v>
      </c>
      <c r="J38">
        <v>5</v>
      </c>
    </row>
    <row r="39" spans="1:10">
      <c r="A39" t="s">
        <v>143</v>
      </c>
      <c r="B39" t="s">
        <v>172</v>
      </c>
      <c r="C39" t="s">
        <v>173</v>
      </c>
      <c r="D39">
        <v>19</v>
      </c>
      <c r="E39">
        <v>19</v>
      </c>
      <c r="F39">
        <v>19</v>
      </c>
      <c r="G39">
        <v>19</v>
      </c>
      <c r="H39">
        <v>16</v>
      </c>
      <c r="I39">
        <v>92</v>
      </c>
    </row>
    <row r="40" spans="1:10">
      <c r="A40" t="s">
        <v>143</v>
      </c>
      <c r="B40" t="s">
        <v>168</v>
      </c>
      <c r="C40" t="s">
        <v>169</v>
      </c>
      <c r="D40">
        <v>20</v>
      </c>
      <c r="E40">
        <v>20</v>
      </c>
      <c r="F40">
        <v>20</v>
      </c>
      <c r="G40">
        <v>20</v>
      </c>
      <c r="H40">
        <v>11</v>
      </c>
      <c r="I40">
        <v>91</v>
      </c>
    </row>
    <row r="41" spans="1:10">
      <c r="A41" t="s">
        <v>143</v>
      </c>
      <c r="B41" t="s">
        <v>206</v>
      </c>
      <c r="C41" t="s">
        <v>207</v>
      </c>
      <c r="D41">
        <v>19</v>
      </c>
      <c r="E41">
        <v>19</v>
      </c>
      <c r="F41">
        <v>19</v>
      </c>
      <c r="G41">
        <v>19</v>
      </c>
      <c r="H41">
        <v>15</v>
      </c>
      <c r="I41">
        <v>96</v>
      </c>
      <c r="J41">
        <v>5</v>
      </c>
    </row>
    <row r="42" spans="1:10">
      <c r="A42" t="s">
        <v>143</v>
      </c>
      <c r="B42" t="s">
        <v>162</v>
      </c>
      <c r="C42" t="s">
        <v>163</v>
      </c>
      <c r="D42">
        <v>19</v>
      </c>
      <c r="E42">
        <v>19</v>
      </c>
      <c r="F42">
        <v>19</v>
      </c>
      <c r="G42">
        <v>19</v>
      </c>
      <c r="H42">
        <v>20</v>
      </c>
      <c r="I42">
        <v>96</v>
      </c>
    </row>
    <row r="43" spans="1:10">
      <c r="A43" t="s">
        <v>143</v>
      </c>
      <c r="B43" t="s">
        <v>200</v>
      </c>
      <c r="C43" t="s">
        <v>201</v>
      </c>
      <c r="D43">
        <v>20</v>
      </c>
      <c r="E43">
        <v>20</v>
      </c>
      <c r="F43">
        <v>20</v>
      </c>
      <c r="G43">
        <v>20</v>
      </c>
      <c r="H43">
        <v>12</v>
      </c>
      <c r="I43">
        <v>97</v>
      </c>
      <c r="J43">
        <v>5</v>
      </c>
    </row>
    <row r="44" spans="1:10">
      <c r="I44">
        <f>AVERAGE(I33:I43)</f>
        <v>93.818181818181813</v>
      </c>
    </row>
  </sheetData>
  <autoFilter ref="A1:J1" xr:uid="{00000000-0001-0000-0200-000000000000}">
    <sortState xmlns:xlrd2="http://schemas.microsoft.com/office/spreadsheetml/2017/richdata2" ref="A2:J44">
      <sortCondition ref="B1:B44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金融202301</vt:lpstr>
      <vt:lpstr>金融202302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shishun xiao</cp:lastModifiedBy>
  <dcterms:created xsi:type="dcterms:W3CDTF">2026-07-02T07:29:13Z</dcterms:created>
  <dcterms:modified xsi:type="dcterms:W3CDTF">2026-07-08T05:35:20Z</dcterms:modified>
</cp:coreProperties>
</file>