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xiaoshiishun/Downloads/"/>
    </mc:Choice>
  </mc:AlternateContent>
  <xr:revisionPtr revIDLastSave="0" documentId="13_ncr:1_{7E9C1444-CC81-3B48-AEFA-B845002719FB}" xr6:coauthVersionLast="47" xr6:coauthVersionMax="47" xr10:uidLastSave="{00000000-0000-0000-0000-000000000000}"/>
  <bookViews>
    <workbookView xWindow="0" yWindow="760" windowWidth="38400" windowHeight="22540" xr2:uid="{00000000-000D-0000-FFFF-FFFF00000000}"/>
  </bookViews>
  <sheets>
    <sheet name="金融202301" sheetId="2" r:id="rId1"/>
    <sheet name="金融202302" sheetId="3" r:id="rId2"/>
  </sheets>
  <definedNames>
    <definedName name="_xlnm._FilterDatabase" localSheetId="0" hidden="1">金融202301!$A$1:$O$1</definedName>
    <definedName name="_xlnm._FilterDatabase" localSheetId="1" hidden="1">金融202302!$A$1:$P$1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7" i="2"/>
  <c r="I23" i="2"/>
  <c r="I31" i="2"/>
  <c r="I10" i="2"/>
  <c r="I8" i="2"/>
  <c r="I30" i="2"/>
  <c r="I40" i="2"/>
  <c r="I17" i="2"/>
  <c r="I24" i="2"/>
  <c r="I28" i="2"/>
  <c r="I35" i="2"/>
  <c r="I15" i="2"/>
  <c r="I4" i="2"/>
  <c r="I19" i="2"/>
  <c r="I20" i="2"/>
  <c r="I14" i="2"/>
  <c r="I37" i="2"/>
  <c r="I21" i="2"/>
  <c r="I9" i="2"/>
  <c r="I39" i="2"/>
  <c r="I36" i="2"/>
  <c r="I26" i="2"/>
  <c r="I27" i="2"/>
  <c r="I5" i="2"/>
  <c r="I38" i="2"/>
  <c r="I22" i="2"/>
  <c r="I34" i="2"/>
  <c r="I6" i="2"/>
  <c r="I32" i="2"/>
  <c r="I33" i="2"/>
  <c r="I18" i="2"/>
  <c r="I29" i="2"/>
  <c r="I13" i="2"/>
  <c r="I16" i="2"/>
  <c r="I17" i="3"/>
  <c r="I9" i="3"/>
  <c r="I33" i="3"/>
  <c r="I8" i="3"/>
  <c r="I32" i="3"/>
  <c r="I4" i="3"/>
  <c r="I2" i="3"/>
  <c r="I10" i="3"/>
  <c r="I37" i="3"/>
  <c r="I41" i="3"/>
  <c r="I30" i="3"/>
  <c r="I43" i="3"/>
  <c r="I20" i="3"/>
  <c r="I14" i="3"/>
  <c r="I11" i="3"/>
  <c r="I13" i="3"/>
  <c r="I26" i="3"/>
  <c r="I19" i="3"/>
  <c r="I34" i="3"/>
  <c r="I31" i="3"/>
  <c r="I12" i="3"/>
  <c r="I18" i="3"/>
  <c r="I28" i="3"/>
  <c r="I36" i="3"/>
  <c r="I29" i="3"/>
  <c r="I25" i="3"/>
  <c r="I39" i="3"/>
  <c r="I22" i="3"/>
  <c r="I40" i="3"/>
  <c r="I38" i="3"/>
  <c r="I21" i="3"/>
  <c r="I5" i="3"/>
  <c r="I42" i="3"/>
  <c r="I6" i="3"/>
  <c r="I3" i="3"/>
  <c r="I15" i="3"/>
  <c r="I24" i="3"/>
  <c r="I23" i="3"/>
  <c r="I44" i="2" l="1"/>
  <c r="I44" i="3"/>
</calcChain>
</file>

<file path=xl/sharedStrings.xml><?xml version="1.0" encoding="utf-8"?>
<sst xmlns="http://schemas.openxmlformats.org/spreadsheetml/2006/main" count="730" uniqueCount="385">
  <si>
    <t>班级</t>
  </si>
  <si>
    <t>学号</t>
  </si>
  <si>
    <t>姓名</t>
  </si>
  <si>
    <t>实验一</t>
  </si>
  <si>
    <t>实验二</t>
  </si>
  <si>
    <t>实验三</t>
  </si>
  <si>
    <t>实验四</t>
  </si>
  <si>
    <t>小组作业</t>
  </si>
  <si>
    <t>总分</t>
  </si>
  <si>
    <t>实验一详情</t>
  </si>
  <si>
    <t>实验二详情</t>
  </si>
  <si>
    <t>实验三详情</t>
  </si>
  <si>
    <t>实验四详情</t>
  </si>
  <si>
    <t>小组作业详情</t>
  </si>
  <si>
    <t>备注</t>
  </si>
  <si>
    <t>金融202301</t>
  </si>
  <si>
    <t>202301726</t>
  </si>
  <si>
    <t>邹彰</t>
  </si>
  <si>
    <t>[合并报告] 文件数:5, 总大小:5209KB, 文本长度:59309</t>
  </si>
  <si>
    <t>[合并报告] 文件数:5, 大小:5209KB, 链接:12个</t>
  </si>
  <si>
    <t>小组作业优秀; 提供访问链接(加分)</t>
  </si>
  <si>
    <t>202302888</t>
  </si>
  <si>
    <t>毛春霖</t>
  </si>
  <si>
    <t>[合并报告] 文件数:1, 总大小:5366KB, 文本长度:17796</t>
  </si>
  <si>
    <t>[合并报告] 文件数:1, 大小:5366KB, 链接:15个</t>
  </si>
  <si>
    <t>202301745</t>
  </si>
  <si>
    <t>袁梓婷</t>
  </si>
  <si>
    <t>[合并报告] 文件数:1, 总大小:18452KB, 文本长度:10490</t>
  </si>
  <si>
    <t>[合并报告] 文件数:1, 大小:18452KB, 链接:1个</t>
  </si>
  <si>
    <t>202301733</t>
  </si>
  <si>
    <t>许欣钰</t>
  </si>
  <si>
    <t>[合并报告] 文件数:1, 总大小:3527KB, 文本长度:12830</t>
  </si>
  <si>
    <t>[合并报告] 文件数:1, 大小:3527KB, 链接:2个, 项目部署链接✓</t>
  </si>
  <si>
    <t>202301750</t>
  </si>
  <si>
    <t>景瑞</t>
  </si>
  <si>
    <t>[合并报告] 文件数:1, 总大小:3263KB, 文本长度:20022</t>
  </si>
  <si>
    <t>[合并报告] 文件数:1, 大小:3263KB, 链接:17个, 项目部署链接✓</t>
  </si>
  <si>
    <t>202301749</t>
  </si>
  <si>
    <t>罗一鸣</t>
  </si>
  <si>
    <t>[合并报告] 文件数:1, 总大小:3181KB, 文本长度:12757</t>
  </si>
  <si>
    <t>[合并报告] 文件数:1, 大小:3181KB, 链接:11个</t>
  </si>
  <si>
    <t>202300592</t>
  </si>
  <si>
    <t>杨子逸</t>
  </si>
  <si>
    <t>[合并报告] 文件数:1, 总大小:2519KB, 文本长度:24679</t>
  </si>
  <si>
    <t>[合并报告] 文件数:1, 大小:2519KB, 链接:6个</t>
  </si>
  <si>
    <t>202301752</t>
  </si>
  <si>
    <t>刘玥</t>
  </si>
  <si>
    <t>[合并报告] 文件数:1, 总大小:2928KB, 文本长度:13245</t>
  </si>
  <si>
    <t>[合并报告] 文件数:1, 大小:2928KB, 链接:3个</t>
  </si>
  <si>
    <t>202301737</t>
  </si>
  <si>
    <t>唐婉清</t>
  </si>
  <si>
    <t>[合并报告] 文件数:1, 总大小:3607KB, 文本长度:13392</t>
  </si>
  <si>
    <t>[合并报告] 文件数:1, 大小:3607KB, 链接:2个</t>
  </si>
  <si>
    <t>202301756</t>
  </si>
  <si>
    <t>徐铭谣</t>
  </si>
  <si>
    <t>[合并报告] 文件数:1, 总大小:3990KB, 文本长度:13152</t>
  </si>
  <si>
    <t>[合并报告] 文件数:1, 大小:3990KB, 链接:1个</t>
  </si>
  <si>
    <t>202301724</t>
  </si>
  <si>
    <t>张珀祥</t>
  </si>
  <si>
    <t>[合并报告] 文件数:1, 总大小:3085KB, 文本长度:17212</t>
  </si>
  <si>
    <t>[合并报告] 文件数:1, 大小:3085KB, 链接:2个</t>
  </si>
  <si>
    <t>周子慧</t>
  </si>
  <si>
    <t>[合并报告] 文件数:1, 总大小:3471KB, 文本长度:7120</t>
  </si>
  <si>
    <t>[合并报告] 文件数:1, 大小:3471KB, 链接:13个</t>
  </si>
  <si>
    <t>202301743</t>
  </si>
  <si>
    <t>吴丽媛</t>
  </si>
  <si>
    <t>[合并报告] 文件数:1, 总大小:2664KB, 文本长度:14371</t>
  </si>
  <si>
    <t>[合并报告] 文件数:1, 大小:2664KB, 链接:2个</t>
  </si>
  <si>
    <t>202301742</t>
  </si>
  <si>
    <t>姚倩</t>
  </si>
  <si>
    <t>[合并报告] 文件数:1, 总大小:3250KB, 文本长度:6823</t>
  </si>
  <si>
    <t>[合并报告] 文件数:1, 大小:3250KB</t>
  </si>
  <si>
    <t>小组作业优秀</t>
  </si>
  <si>
    <t>202301754</t>
  </si>
  <si>
    <t>朱思尧</t>
  </si>
  <si>
    <t>[合并报告] 文件数:1, 总大小:3290KB, 文本长度:6369</t>
  </si>
  <si>
    <t>[合并报告] 文件数:1, 大小:3290KB</t>
  </si>
  <si>
    <t>202301757</t>
  </si>
  <si>
    <t>徐彤彤</t>
  </si>
  <si>
    <t>[合并报告] 文件数:1, 总大小:4612KB, 文本长度:3129</t>
  </si>
  <si>
    <t>[合并报告] 文件数:1, 大小:4612KB, 链接:2个</t>
  </si>
  <si>
    <t>202301722</t>
  </si>
  <si>
    <t>屈秋顺</t>
  </si>
  <si>
    <t>[合并报告] 文件数:1, 总大小:1097KB, 文本长度:18921</t>
  </si>
  <si>
    <t>[合并报告] 文件数:1, 大小:1097KB, 链接:7个</t>
  </si>
  <si>
    <t>202301736</t>
  </si>
  <si>
    <t>朱余</t>
  </si>
  <si>
    <t>[合并报告] 文件数:1, 总大小:1886KB, 文本长度:5871</t>
  </si>
  <si>
    <t>[合并报告] 文件数:1, 大小:1886KB, 链接:3个, 项目部署链接✓</t>
  </si>
  <si>
    <t>202301755</t>
  </si>
  <si>
    <t>陈宇欢</t>
  </si>
  <si>
    <t>[合并报告] 文件数:1, 总大小:1012KB, 文本长度:21399</t>
  </si>
  <si>
    <t>[合并报告] 文件数:1, 大小:1012KB, 链接:4个</t>
  </si>
  <si>
    <t>202301727</t>
  </si>
  <si>
    <t>刘玉宁</t>
  </si>
  <si>
    <t>[合并报告] 文件数:1, 总大小:1509KB, 文本长度:9095</t>
  </si>
  <si>
    <t>[合并报告] 文件数:1, 大小:1509KB, 链接:3个</t>
  </si>
  <si>
    <t>202301735</t>
  </si>
  <si>
    <t>彭俊茜</t>
  </si>
  <si>
    <t>[合并报告] 文件数:1, 总大小:814KB, 文本长度:19479</t>
  </si>
  <si>
    <t>[合并报告] 文件数:1, 大小:814KB, 链接:13个, 项目部署链接✓</t>
  </si>
  <si>
    <t>202301734</t>
  </si>
  <si>
    <t>彭婉莹</t>
  </si>
  <si>
    <t>[合并报告] 文件数:1, 总大小:1731KB, 文本长度:6405</t>
  </si>
  <si>
    <t>[合并报告] 文件数:1, 大小:1731KB</t>
  </si>
  <si>
    <t>张艺夕</t>
  </si>
  <si>
    <t>[合并报告] 文件数:1, 总大小:1166KB, 文本长度:9846</t>
  </si>
  <si>
    <t>[合并报告] 文件数:1, 大小:1166KB, 链接:2个</t>
  </si>
  <si>
    <t>202301728</t>
  </si>
  <si>
    <t>宋亚蒴</t>
  </si>
  <si>
    <t>[合并报告] 文件数:2, 总大小:4414KB, 文本长度:58489</t>
  </si>
  <si>
    <t>文件数:1, 总大小:18KB, 文本长度:5678</t>
  </si>
  <si>
    <t>文件数:2, 总大小:180KB, 文本长度:15411</t>
  </si>
  <si>
    <t>[合并报告] 文件数:2, 大小:4414KB, 链接:18个</t>
  </si>
  <si>
    <t>罗玉淇</t>
  </si>
  <si>
    <t>[合并报告] 文件数:1, 总大小:1339KB, 文本长度:3497</t>
  </si>
  <si>
    <t>[合并报告] 文件数:1, 大小:1339KB</t>
  </si>
  <si>
    <t>202301753</t>
  </si>
  <si>
    <t>颉荣</t>
  </si>
  <si>
    <t>[合并报告] 文件数:1, 总大小:1990KB, 文本长度:4623</t>
  </si>
  <si>
    <t>[合并报告] 文件数:1, 大小:1990KB</t>
  </si>
  <si>
    <t>202302584</t>
  </si>
  <si>
    <t>王姗妮</t>
  </si>
  <si>
    <t>[合并报告] 文件数:1, 总大小:6858KB, 文本长度:15553</t>
  </si>
  <si>
    <t>未提交</t>
  </si>
  <si>
    <t>202302829</t>
  </si>
  <si>
    <t>杨雯然</t>
  </si>
  <si>
    <t>[合并报告] 文件数:1, 总大小:7110KB, 文本长度:19292</t>
  </si>
  <si>
    <t>[合并报告] 文件数:1, 总大小:7110KB, 文本长度:5000</t>
  </si>
  <si>
    <t>202301741</t>
  </si>
  <si>
    <t>殷章艳</t>
  </si>
  <si>
    <t>[合并报告] 文件数:1, 总大小:1075KB, 文本长度:4572</t>
  </si>
  <si>
    <t>[合并报告] 文件数:1, 大小:1075KB, 链接:2个</t>
  </si>
  <si>
    <t>202301744</t>
  </si>
  <si>
    <t>罗钰铃</t>
  </si>
  <si>
    <t>[合并报告] 文件数:1, 总大小:1083KB, 文本长度:4570</t>
  </si>
  <si>
    <t>[合并报告] 文件数:1, 大小:1083KB</t>
  </si>
  <si>
    <t>202301740</t>
  </si>
  <si>
    <t>刘潇</t>
  </si>
  <si>
    <t>[合并报告] 文件数:1, 总大小:5656KB, 文本长度:9264</t>
  </si>
  <si>
    <t>202301725</t>
  </si>
  <si>
    <t>谢燃</t>
  </si>
  <si>
    <t>[合并报告] 文件数:1, 总大小:1064KB, 文本长度:1572</t>
  </si>
  <si>
    <t>[合并报告] 文件数:1, 大小:1064KB</t>
  </si>
  <si>
    <t>202301732</t>
  </si>
  <si>
    <t>朴祉伊</t>
  </si>
  <si>
    <t>[合并报告] 文件数:1, 总大小:777KB, 文本长度:6120</t>
  </si>
  <si>
    <t>[合并报告] 文件数:1, 大小:777KB, 链接:2个</t>
  </si>
  <si>
    <t>202302306</t>
  </si>
  <si>
    <t>雍雨鑫</t>
  </si>
  <si>
    <t>[合并报告] 文件数:1, 总大小:3923KB, 文本长度:10162</t>
  </si>
  <si>
    <t>202301746</t>
  </si>
  <si>
    <t>何彦霖</t>
  </si>
  <si>
    <t>文件数:1, 总大小:290KB, 文本长度:11814</t>
  </si>
  <si>
    <t>文件数:1, 总大小:194KB, 文本长度:7955</t>
  </si>
  <si>
    <t>文件数:1, 总大小:234KB, 文本长度:10520</t>
  </si>
  <si>
    <t>文件数:1, 总大小:196KB, 文本长度:8675</t>
  </si>
  <si>
    <t>[合并报告] 文件数:1, 大小:1856KB, 链接:18个</t>
  </si>
  <si>
    <t>202301721</t>
  </si>
  <si>
    <t>潘振邦</t>
  </si>
  <si>
    <t>[合并报告] 文件数:1, 总大小:4993KB, 文本长度:5844</t>
  </si>
  <si>
    <t>雷玺瑄</t>
  </si>
  <si>
    <t>[合并报告] 文件数:1, 总大小:68KB, 文本长度:17100</t>
  </si>
  <si>
    <t>[合并报告] 文件数:1, 大小:68KB, 链接:7个</t>
  </si>
  <si>
    <t>202301723</t>
  </si>
  <si>
    <t>罗瑞</t>
  </si>
  <si>
    <t>[合并报告] 文件数:1, 总大小:3317KB, 文本长度:4895</t>
  </si>
  <si>
    <t>202301748</t>
  </si>
  <si>
    <t>王佳煜</t>
  </si>
  <si>
    <t>[合并报告] 文件数:1, 总大小:1575KB, 文本长度:15339</t>
  </si>
  <si>
    <t>202301738</t>
  </si>
  <si>
    <t>杨焰明</t>
  </si>
  <si>
    <t>文件数:1, 总大小:1490KB, 文本长度:1126</t>
  </si>
  <si>
    <t>文件数:1, 总大小:491KB, 文本长度:2834</t>
  </si>
  <si>
    <t>文件数:1, 总大小:967KB, 文本长度:3779</t>
  </si>
  <si>
    <t>文件数:1, 总大小:1386KB, 文本长度:5106</t>
  </si>
  <si>
    <t>202301532</t>
  </si>
  <si>
    <t>石凯欣</t>
  </si>
  <si>
    <t>[合并报告] 文件数:1, 总大小:489KB, 文本长度:14014</t>
  </si>
  <si>
    <t>202301729</t>
  </si>
  <si>
    <t>王斌权</t>
  </si>
  <si>
    <t>文件数:2, 总大小:349KB, 文本长度:10935</t>
  </si>
  <si>
    <t>文件数:2, 总大小:178KB, 文本长度:9454</t>
  </si>
  <si>
    <t>文件数:1, 总大小:217KB, 文本长度:7391</t>
  </si>
  <si>
    <t>金融202302</t>
  </si>
  <si>
    <t>202301768</t>
  </si>
  <si>
    <t>潘东鑫</t>
  </si>
  <si>
    <t>[合并报告] 文件数:2, 总大小:7303KB, 文本长度:15862</t>
  </si>
  <si>
    <t>文件数:1, 大小:701KB, 链接:4个, 项目部署链接✓</t>
  </si>
  <si>
    <t>202301758</t>
  </si>
  <si>
    <t>恩珠</t>
  </si>
  <si>
    <t>[合并报告] 文件数:1, 总大小:12194KB, 文本长度:13401</t>
  </si>
  <si>
    <t>文件数:1, 大小:464KB, 链接:3个, 项目部署链接✓</t>
  </si>
  <si>
    <t>202301788</t>
  </si>
  <si>
    <t>刘珈名</t>
  </si>
  <si>
    <t>[合并报告] 文件数:2, 总大小:15820KB, 文本长度:19121</t>
  </si>
  <si>
    <t>[合并报告] 文件数:2, 大小:15820KB, 链接:3个</t>
  </si>
  <si>
    <t>202301775</t>
  </si>
  <si>
    <t>龙玲玲</t>
  </si>
  <si>
    <t>[合并报告] 文件数:4, 总大小:12230KB, 文本长度:12155</t>
  </si>
  <si>
    <t>文件数:1, 大小:3880KB</t>
  </si>
  <si>
    <t>202301777</t>
  </si>
  <si>
    <t>刘纹君</t>
  </si>
  <si>
    <t>[合并报告] 文件数:1, 总大小:10422KB, 文本长度:16831</t>
  </si>
  <si>
    <t>[合并报告] 文件数:1, 大小:10422KB, 链接:1个</t>
  </si>
  <si>
    <t>202301780</t>
  </si>
  <si>
    <t>吴琪</t>
  </si>
  <si>
    <t>[合并报告] 文件数:1, 总大小:6851KB, 文本长度:10787</t>
  </si>
  <si>
    <t>[合并报告] 文件数:1, 大小:6851KB, 链接:2个</t>
  </si>
  <si>
    <t>202301767</t>
  </si>
  <si>
    <t>范俊森</t>
  </si>
  <si>
    <t>[合并报告] 文件数:2, 总大小:10933KB, 文本长度:20992</t>
  </si>
  <si>
    <t>文件数:1, 大小:682KB</t>
  </si>
  <si>
    <t>202300002</t>
  </si>
  <si>
    <t>杜伟聪</t>
  </si>
  <si>
    <t>[合并报告] 文件数:1, 总大小:4644KB, 文本长度:17153</t>
  </si>
  <si>
    <t>[合并报告] 文件数:1, 大小:4644KB, 链接:9个, 项目部署链接✓</t>
  </si>
  <si>
    <t>202301689</t>
  </si>
  <si>
    <t>刘爵闻</t>
  </si>
  <si>
    <t>[合并报告] 文件数:1, 总大小:2107KB, 文本长度:16669</t>
  </si>
  <si>
    <t>[合并报告] 文件数:1, 大小:2107KB, 链接:11个, 项目部署链接✓</t>
  </si>
  <si>
    <t>202302696</t>
  </si>
  <si>
    <t>权昱菲</t>
  </si>
  <si>
    <t>[合并报告] 文件数:1, 总大小:3270KB, 文本长度:18762</t>
  </si>
  <si>
    <t>[合并报告] 文件数:1, 大小:3270KB, 链接:11个, 项目部署链接✓</t>
  </si>
  <si>
    <t>202300869</t>
  </si>
  <si>
    <t>苏杨芯</t>
  </si>
  <si>
    <t>[合并报告] 文件数:1, 总大小:3229KB, 文本长度:9680</t>
  </si>
  <si>
    <t>[合并报告] 文件数:1, 大小:3229KB, 链接:27个, 项目部署链接✓</t>
  </si>
  <si>
    <t>202301773</t>
  </si>
  <si>
    <t>郭果</t>
  </si>
  <si>
    <t>[合并报告] 文件数:1, 总大小:2056KB, 文本长度:9674</t>
  </si>
  <si>
    <t>[合并报告] 文件数:1, 大小:2056KB, 链接:10个, 项目部署链接✓</t>
  </si>
  <si>
    <t>202301794</t>
  </si>
  <si>
    <t>张曦文</t>
  </si>
  <si>
    <t>[合并报告] 文件数:2, 总大小:14062KB, 文本长度:23342</t>
  </si>
  <si>
    <t>文件数:1, 大小:19KB</t>
  </si>
  <si>
    <t>202301774</t>
  </si>
  <si>
    <t>张心妍</t>
  </si>
  <si>
    <t>[合并报告] 文件数:1, 总大小:2477KB, 文本长度:6353</t>
  </si>
  <si>
    <t>[合并报告] 文件数:1, 大小:2477KB, 链接:34个</t>
  </si>
  <si>
    <t>202301793</t>
  </si>
  <si>
    <t>黄秋粤</t>
  </si>
  <si>
    <t>[合并报告] 文件数:1, 总大小:2458KB, 文本长度:10006</t>
  </si>
  <si>
    <t>[合并报告] 文件数:1, 大小:2458KB, 链接:1个</t>
  </si>
  <si>
    <t>202301778</t>
  </si>
  <si>
    <t>唐苑</t>
  </si>
  <si>
    <t>[合并报告] 文件数:1, 总大小:3001KB, 文本长度:5476</t>
  </si>
  <si>
    <t>[合并报告] 文件数:1, 大小:3001KB</t>
  </si>
  <si>
    <t>202301782</t>
  </si>
  <si>
    <t>周萍</t>
  </si>
  <si>
    <t>[合并报告] 文件数:1, 总大小:3148KB, 文本长度:6574</t>
  </si>
  <si>
    <t>[合并报告] 文件数:1, 大小:3148KB, 链接:1个</t>
  </si>
  <si>
    <t>202301789</t>
  </si>
  <si>
    <t>李小萌</t>
  </si>
  <si>
    <t>[合并报告] 文件数:1, 总大小:1790KB, 文本长度:11732</t>
  </si>
  <si>
    <t>[合并报告] 文件数:1, 大小:1790KB, 链接:6个, 项目部署链接✓</t>
  </si>
  <si>
    <t>202301781</t>
  </si>
  <si>
    <t>郭佳雨</t>
  </si>
  <si>
    <t>文件数:1, 总大小:2679KB, 文本长度:5551</t>
  </si>
  <si>
    <t>文件数:1, 总大小:1323KB, 文本长度:1283</t>
  </si>
  <si>
    <t>文件数:1, 总大小:2111KB, 文本长度:1311</t>
  </si>
  <si>
    <t>文件数:1, 总大小:2788KB, 文本长度:1260</t>
  </si>
  <si>
    <t>文件数:1, 大小:1590KB, 链接:3个, 项目部署链接✓</t>
  </si>
  <si>
    <t>202301770</t>
  </si>
  <si>
    <t>栗子瑶</t>
  </si>
  <si>
    <t>[合并报告] 文件数:1, 总大小:2995KB, 文本长度:11214</t>
  </si>
  <si>
    <t>文件数:1, 总大小:80KB, 文本长度:6350</t>
  </si>
  <si>
    <t>[合并报告] 文件数:1, 大小:2995KB, 链接:43个</t>
  </si>
  <si>
    <t>202301764</t>
  </si>
  <si>
    <t>李旭东</t>
  </si>
  <si>
    <t>[合并报告] 文件数:1, 总大小:624KB, 文本长度:17053</t>
  </si>
  <si>
    <t>202301787</t>
  </si>
  <si>
    <t>陈馨雨</t>
  </si>
  <si>
    <t>[合并报告] 文件数:1, 总大小:1384KB, 文本长度:9968</t>
  </si>
  <si>
    <t>[合并报告] 文件数:1, 大小:1384KB, 链接:5个</t>
  </si>
  <si>
    <t>202301771</t>
  </si>
  <si>
    <t>周静雯</t>
  </si>
  <si>
    <t>[合并报告] 文件数:1, 总大小:2421KB, 文本长度:1882</t>
  </si>
  <si>
    <t>[合并报告] 文件数:1, 大小:2421KB, 链接:1个</t>
  </si>
  <si>
    <t>202301779</t>
  </si>
  <si>
    <t>余燕</t>
  </si>
  <si>
    <t>[合并报告] 文件数:1, 总大小:1511KB, 文本长度:9335</t>
  </si>
  <si>
    <t>[合并报告] 文件数:1, 大小:1511KB, 链接:2个</t>
  </si>
  <si>
    <t>202301763</t>
  </si>
  <si>
    <t>江权</t>
  </si>
  <si>
    <t>文件数:1, 总大小:918KB, 文本长度:873</t>
  </si>
  <si>
    <t>文件数:1, 总大小:1520KB, 文本长度:3641</t>
  </si>
  <si>
    <t>文件数:1, 总大小:790KB, 文本长度:1900</t>
  </si>
  <si>
    <t>文件数:1, 总大小:538KB, 文本长度:2992</t>
  </si>
  <si>
    <t>文件数:1, 大小:538KB, 链接:5个, 项目部署链接✓</t>
  </si>
  <si>
    <t>202301766</t>
  </si>
  <si>
    <t>赵佳宝</t>
  </si>
  <si>
    <t>文件数:1, 总大小:891KB, 文本长度:3371</t>
  </si>
  <si>
    <t>文件数:1, 总大小:1668KB, 文本长度:3708</t>
  </si>
  <si>
    <t>文件数:1, 总大小:782KB, 文本长度:3162</t>
  </si>
  <si>
    <t>文件数:1, 总大小:406KB, 文本长度:3326</t>
  </si>
  <si>
    <t>文件数:1, 大小:568KB, 链接:4个, 项目部署链接✓</t>
  </si>
  <si>
    <t>202301772</t>
  </si>
  <si>
    <t>权敏</t>
  </si>
  <si>
    <t>[合并报告] 文件数:1, 总大小:484KB, 文本长度:15596</t>
  </si>
  <si>
    <t>[合并报告] 文件数:1, 大小:484KB, 链接:10个, 项目部署链接✓</t>
  </si>
  <si>
    <t>202301769</t>
  </si>
  <si>
    <t>蒋思程</t>
  </si>
  <si>
    <t>文件数:1, 总大小:445KB, 文本长度:3228</t>
  </si>
  <si>
    <t>文件数:1, 总大小:1926KB, 文本长度:10195</t>
  </si>
  <si>
    <t>文件数:1, 总大小:468KB, 文本长度:3872</t>
  </si>
  <si>
    <t>文件数:1, 总大小:148KB, 文本长度:4357</t>
  </si>
  <si>
    <t>202302946</t>
  </si>
  <si>
    <t>陈鸿亮</t>
  </si>
  <si>
    <t>[合并报告] 文件数:1, 总大小:5754KB, 文本长度:7654</t>
  </si>
  <si>
    <t>202301761</t>
  </si>
  <si>
    <t>骆劲松</t>
  </si>
  <si>
    <t>文件数:1, 总大小:920KB, 文本长度:6149</t>
  </si>
  <si>
    <t>文件数:1, 总大小:6014KB, 文本长度:2106</t>
  </si>
  <si>
    <t>文件数:1, 总大小:26KB, 文本长度:2812</t>
  </si>
  <si>
    <t>文件数:1, 总大小:19KB, 文本长度:1700</t>
  </si>
  <si>
    <t>文件数:1, 大小:159KB, 链接:3个, 项目部署链接✓</t>
  </si>
  <si>
    <t>202301783</t>
  </si>
  <si>
    <t>欧旭荣</t>
  </si>
  <si>
    <t>文件数:1, 总大小:532KB, 文本长度:3187</t>
  </si>
  <si>
    <t>文件数:1, 总大小:1039KB, 文本长度:5435</t>
  </si>
  <si>
    <t>文件数:1, 总大小:849KB, 文本长度:5945</t>
  </si>
  <si>
    <t>文件数:1, 总大小:455KB, 文本长度:3047</t>
  </si>
  <si>
    <t>文件数:1, 大小:455KB, 链接:3个</t>
  </si>
  <si>
    <t>202301795</t>
  </si>
  <si>
    <t>雷娜</t>
  </si>
  <si>
    <t>[合并报告] 文件数:1, 总大小:2422KB, 文本长度:14610</t>
  </si>
  <si>
    <t>202301790</t>
  </si>
  <si>
    <t>柏依琳</t>
  </si>
  <si>
    <t>[合并报告] 文件数:1, 总大小:4027KB, 文本长度:9148</t>
  </si>
  <si>
    <t>202301762</t>
  </si>
  <si>
    <t>潘金豆</t>
  </si>
  <si>
    <t>文件数:1, 总大小:1219KB, 文本长度:726</t>
  </si>
  <si>
    <t>文件数:1, 总大小:1292KB, 文本长度:774</t>
  </si>
  <si>
    <t>文件数:1, 总大小:1647KB, 文本长度:805</t>
  </si>
  <si>
    <t>由小组作业替代 (未提交)</t>
  </si>
  <si>
    <t>文件数:1, 大小:398KB, 链接:1个</t>
  </si>
  <si>
    <t>实验四由小组作业替代</t>
  </si>
  <si>
    <t>202109396</t>
  </si>
  <si>
    <t>刘浩天</t>
  </si>
  <si>
    <t>[合并报告] 文件数:1, 总大小:4356KB, 文本长度:4172</t>
  </si>
  <si>
    <t>202300362</t>
  </si>
  <si>
    <t>夏欣</t>
  </si>
  <si>
    <t>文件数:2, 总大小:3960KB, 文本长度:18453</t>
  </si>
  <si>
    <t>文件数:2, 总大小:2889KB, 文本长度:7103</t>
  </si>
  <si>
    <t>文件数:2, 总大小:1100KB, 文本长度:5203</t>
  </si>
  <si>
    <t>文件数:2, 总大小:1693KB, 文本长度:10601</t>
  </si>
  <si>
    <t>202301785</t>
  </si>
  <si>
    <t>陈曦</t>
  </si>
  <si>
    <t>文件数:2, 总大小:3760KB, 文本长度:3299</t>
  </si>
  <si>
    <t>文件数:2, 总大小:1006KB, 文本长度:5511</t>
  </si>
  <si>
    <t>文件数:2, 总大小:2799KB, 文本长度:6147</t>
  </si>
  <si>
    <t>文件数:2, 总大小:3150KB, 文本长度:8119</t>
  </si>
  <si>
    <t>202301759</t>
  </si>
  <si>
    <t>陈俊杰</t>
  </si>
  <si>
    <t>文件数:1, 总大小:940KB, 文本长度:3496</t>
  </si>
  <si>
    <t>文件数:1, 总大小:2633KB, 文本长度:868</t>
  </si>
  <si>
    <t>文件数:1, 总大小:1321KB, 文本长度:3670</t>
  </si>
  <si>
    <t>文件数:1, 总大小:3200KB, 文本长度:5561</t>
  </si>
  <si>
    <t>202301784</t>
  </si>
  <si>
    <t>夏雨欣</t>
  </si>
  <si>
    <t>文件数:1, 总大小:1154KB, 文本长度:3392</t>
  </si>
  <si>
    <t>文件数:1, 总大小:921KB, 文本长度:3549</t>
  </si>
  <si>
    <t>文件数:1, 总大小:1728KB, 文本长度:5779</t>
  </si>
  <si>
    <t>文件数:1, 总大小:1799KB, 文本长度:5154</t>
  </si>
  <si>
    <t>202301765</t>
  </si>
  <si>
    <t>王新宁</t>
  </si>
  <si>
    <t>文件数:1, 总大小:1109KB, 文本长度:957</t>
  </si>
  <si>
    <t>文件数:1, 总大小:634KB, 文本长度:5032</t>
  </si>
  <si>
    <t>文件数:1, 总大小:227KB, 文本长度:2633</t>
  </si>
  <si>
    <t>文件数:2, 总大小:780KB, 文本长度:10122</t>
  </si>
  <si>
    <t>202301792</t>
  </si>
  <si>
    <t>刘丹丹</t>
  </si>
  <si>
    <t>文件数:1, 总大小:491KB, 文本长度:8341</t>
  </si>
  <si>
    <t>文件数:1, 总大小:1186KB, 文本长度:10566</t>
  </si>
  <si>
    <t>文件数:1, 总大小:77KB, 文本长度:12951</t>
  </si>
  <si>
    <t>文件数:1, 总大小:43KB, 文本长度:16508</t>
  </si>
  <si>
    <t>202301786</t>
  </si>
  <si>
    <t>王可儿</t>
  </si>
  <si>
    <t>文件数:1, 总大小:996KB, 文本长度:2926</t>
  </si>
  <si>
    <t>文件数:1, 总大小:2089KB, 文本长度:5405</t>
  </si>
  <si>
    <t>提供实验结果链接并部署+5</t>
    <phoneticPr fontId="1" type="noConversion"/>
  </si>
  <si>
    <t>小组作业或提供访问链接加分</t>
    <phoneticPr fontId="1" type="noConversion"/>
  </si>
  <si>
    <t>加分(小组作业优秀或项目提供访问链接)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</si>
</sst>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tabSelected="1" topLeftCell="A4" zoomScale="150" zoomScaleNormal="150" workbookViewId="0">
      <selection activeCell="Q31" sqref="Q31"/>
    </sheetView>
  </sheetViews>
  <sheetFormatPr baseColWidth="10" defaultColWidth="8.83203125" defaultRowHeight="14"/>
  <cols>
    <col min="2" max="2" width="20" customWidth="1"/>
    <col min="10" max="14" width="0" hidden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384</v>
      </c>
    </row>
    <row r="2" spans="1:15">
      <c r="A2" t="s">
        <v>15</v>
      </c>
      <c r="B2">
        <v>202301731</v>
      </c>
      <c r="C2" t="s">
        <v>161</v>
      </c>
      <c r="D2">
        <v>16</v>
      </c>
      <c r="E2">
        <v>16</v>
      </c>
      <c r="F2">
        <v>14</v>
      </c>
      <c r="G2">
        <v>14</v>
      </c>
      <c r="H2">
        <v>15</v>
      </c>
      <c r="I2">
        <f>SUM(D2:H2,O2)</f>
        <v>80</v>
      </c>
      <c r="J2" t="s">
        <v>162</v>
      </c>
      <c r="K2" t="s">
        <v>162</v>
      </c>
      <c r="L2" t="s">
        <v>162</v>
      </c>
      <c r="M2" t="s">
        <v>162</v>
      </c>
      <c r="N2" t="s">
        <v>163</v>
      </c>
      <c r="O2">
        <v>5</v>
      </c>
    </row>
    <row r="3" spans="1:15">
      <c r="A3" t="s">
        <v>15</v>
      </c>
      <c r="B3">
        <v>202301739</v>
      </c>
      <c r="C3" t="s">
        <v>114</v>
      </c>
      <c r="D3">
        <v>18</v>
      </c>
      <c r="E3">
        <v>18</v>
      </c>
      <c r="F3">
        <v>18</v>
      </c>
      <c r="G3">
        <v>16</v>
      </c>
      <c r="H3">
        <v>16</v>
      </c>
      <c r="I3">
        <f>SUM(D3:H3,O3)</f>
        <v>91</v>
      </c>
      <c r="J3" t="s">
        <v>115</v>
      </c>
      <c r="K3" t="s">
        <v>115</v>
      </c>
      <c r="L3" t="s">
        <v>115</v>
      </c>
      <c r="M3" t="s">
        <v>115</v>
      </c>
      <c r="N3" t="s">
        <v>116</v>
      </c>
      <c r="O3">
        <v>5</v>
      </c>
    </row>
    <row r="4" spans="1:15">
      <c r="A4" t="s">
        <v>15</v>
      </c>
      <c r="B4">
        <v>202301747</v>
      </c>
      <c r="C4" t="s">
        <v>105</v>
      </c>
      <c r="D4">
        <v>17</v>
      </c>
      <c r="E4">
        <v>17</v>
      </c>
      <c r="F4">
        <v>17</v>
      </c>
      <c r="G4">
        <v>17</v>
      </c>
      <c r="H4">
        <v>16</v>
      </c>
      <c r="I4">
        <f>SUM(D4:H4,O4)</f>
        <v>84</v>
      </c>
      <c r="J4" t="s">
        <v>106</v>
      </c>
      <c r="K4" t="s">
        <v>106</v>
      </c>
      <c r="L4" t="s">
        <v>106</v>
      </c>
      <c r="M4" t="s">
        <v>106</v>
      </c>
      <c r="N4" t="s">
        <v>107</v>
      </c>
    </row>
    <row r="5" spans="1:15">
      <c r="A5" t="s">
        <v>15</v>
      </c>
      <c r="B5">
        <v>202301751</v>
      </c>
      <c r="C5" t="s">
        <v>61</v>
      </c>
      <c r="D5">
        <v>18</v>
      </c>
      <c r="E5">
        <v>18</v>
      </c>
      <c r="F5">
        <v>18</v>
      </c>
      <c r="G5">
        <v>18</v>
      </c>
      <c r="H5">
        <v>18</v>
      </c>
      <c r="I5">
        <f>SUM(D5:H5,O5)</f>
        <v>95</v>
      </c>
      <c r="J5" t="s">
        <v>62</v>
      </c>
      <c r="K5" t="s">
        <v>62</v>
      </c>
      <c r="L5" t="s">
        <v>62</v>
      </c>
      <c r="M5" t="s">
        <v>62</v>
      </c>
      <c r="N5" t="s">
        <v>63</v>
      </c>
      <c r="O5">
        <v>5</v>
      </c>
    </row>
    <row r="6" spans="1:15">
      <c r="A6" t="s">
        <v>15</v>
      </c>
      <c r="B6" t="s">
        <v>41</v>
      </c>
      <c r="C6" t="s">
        <v>42</v>
      </c>
      <c r="D6">
        <v>19</v>
      </c>
      <c r="E6">
        <v>19</v>
      </c>
      <c r="F6">
        <v>19</v>
      </c>
      <c r="G6">
        <v>19</v>
      </c>
      <c r="H6">
        <v>18</v>
      </c>
      <c r="I6">
        <f>SUM(D6:H6,O6)</f>
        <v>94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 spans="1:15">
      <c r="A7" t="s">
        <v>15</v>
      </c>
      <c r="B7" t="s">
        <v>176</v>
      </c>
      <c r="C7" t="s">
        <v>177</v>
      </c>
      <c r="D7">
        <v>18</v>
      </c>
      <c r="E7">
        <v>18</v>
      </c>
      <c r="F7">
        <v>18</v>
      </c>
      <c r="G7">
        <v>18</v>
      </c>
      <c r="H7">
        <v>5</v>
      </c>
      <c r="I7">
        <f>SUM(D7:H7,O7)</f>
        <v>82</v>
      </c>
      <c r="J7" t="s">
        <v>178</v>
      </c>
      <c r="K7" t="s">
        <v>178</v>
      </c>
      <c r="L7" t="s">
        <v>178</v>
      </c>
      <c r="M7" t="s">
        <v>178</v>
      </c>
      <c r="N7" t="s">
        <v>124</v>
      </c>
      <c r="O7">
        <v>5</v>
      </c>
    </row>
    <row r="8" spans="1:15">
      <c r="A8" t="s">
        <v>15</v>
      </c>
      <c r="B8" t="s">
        <v>158</v>
      </c>
      <c r="C8" t="s">
        <v>159</v>
      </c>
      <c r="D8">
        <v>18</v>
      </c>
      <c r="E8">
        <v>18</v>
      </c>
      <c r="F8">
        <v>18</v>
      </c>
      <c r="G8">
        <v>18</v>
      </c>
      <c r="H8">
        <v>5</v>
      </c>
      <c r="I8">
        <f>SUM(D8:H8,O8)</f>
        <v>82</v>
      </c>
      <c r="J8" t="s">
        <v>160</v>
      </c>
      <c r="K8" t="s">
        <v>160</v>
      </c>
      <c r="L8" t="s">
        <v>160</v>
      </c>
      <c r="M8" t="s">
        <v>160</v>
      </c>
      <c r="N8" t="s">
        <v>124</v>
      </c>
      <c r="O8">
        <v>5</v>
      </c>
    </row>
    <row r="9" spans="1:15">
      <c r="A9" t="s">
        <v>15</v>
      </c>
      <c r="B9" t="s">
        <v>81</v>
      </c>
      <c r="C9" t="s">
        <v>82</v>
      </c>
      <c r="D9">
        <v>17</v>
      </c>
      <c r="E9">
        <v>17</v>
      </c>
      <c r="F9">
        <v>17</v>
      </c>
      <c r="G9">
        <v>17</v>
      </c>
      <c r="H9">
        <v>18</v>
      </c>
      <c r="I9">
        <f>SUM(D9:H9,O9)</f>
        <v>91</v>
      </c>
      <c r="J9" t="s">
        <v>83</v>
      </c>
      <c r="K9" t="s">
        <v>83</v>
      </c>
      <c r="L9" t="s">
        <v>83</v>
      </c>
      <c r="M9" t="s">
        <v>83</v>
      </c>
      <c r="N9" t="s">
        <v>84</v>
      </c>
      <c r="O9">
        <v>5</v>
      </c>
    </row>
    <row r="10" spans="1:15">
      <c r="A10" t="s">
        <v>15</v>
      </c>
      <c r="B10" t="s">
        <v>164</v>
      </c>
      <c r="C10" t="s">
        <v>165</v>
      </c>
      <c r="D10">
        <v>18</v>
      </c>
      <c r="E10">
        <v>18</v>
      </c>
      <c r="F10">
        <v>18</v>
      </c>
      <c r="G10">
        <v>18</v>
      </c>
      <c r="H10">
        <v>5</v>
      </c>
      <c r="I10">
        <f>SUM(D10:H10,O10)</f>
        <v>82</v>
      </c>
      <c r="J10" t="s">
        <v>166</v>
      </c>
      <c r="K10" t="s">
        <v>166</v>
      </c>
      <c r="L10" t="s">
        <v>166</v>
      </c>
      <c r="M10" t="s">
        <v>166</v>
      </c>
      <c r="N10" t="s">
        <v>124</v>
      </c>
      <c r="O10">
        <v>5</v>
      </c>
    </row>
    <row r="11" spans="1:15">
      <c r="A11" t="s">
        <v>15</v>
      </c>
      <c r="B11" t="s">
        <v>57</v>
      </c>
      <c r="C11" t="s">
        <v>58</v>
      </c>
      <c r="D11">
        <v>19</v>
      </c>
      <c r="E11">
        <v>19</v>
      </c>
      <c r="F11">
        <v>19</v>
      </c>
      <c r="G11">
        <v>19</v>
      </c>
      <c r="H11">
        <v>17</v>
      </c>
      <c r="I11">
        <v>92</v>
      </c>
      <c r="J11" t="s">
        <v>59</v>
      </c>
      <c r="K11" t="s">
        <v>59</v>
      </c>
      <c r="L11" t="s">
        <v>59</v>
      </c>
      <c r="M11" t="s">
        <v>59</v>
      </c>
      <c r="N11" t="s">
        <v>60</v>
      </c>
    </row>
    <row r="12" spans="1:15">
      <c r="A12" t="s">
        <v>15</v>
      </c>
      <c r="B12" t="s">
        <v>140</v>
      </c>
      <c r="C12" t="s">
        <v>141</v>
      </c>
      <c r="D12">
        <v>16</v>
      </c>
      <c r="E12">
        <v>16</v>
      </c>
      <c r="F12">
        <v>16</v>
      </c>
      <c r="G12">
        <v>16</v>
      </c>
      <c r="H12">
        <v>15</v>
      </c>
      <c r="I12">
        <v>80</v>
      </c>
      <c r="J12" t="s">
        <v>142</v>
      </c>
      <c r="K12" t="s">
        <v>142</v>
      </c>
      <c r="L12" t="s">
        <v>142</v>
      </c>
      <c r="M12" t="s">
        <v>142</v>
      </c>
      <c r="N12" t="s">
        <v>143</v>
      </c>
    </row>
    <row r="13" spans="1:15">
      <c r="A13" t="s">
        <v>15</v>
      </c>
      <c r="B13" t="s">
        <v>16</v>
      </c>
      <c r="C13" t="s">
        <v>17</v>
      </c>
      <c r="D13">
        <v>20</v>
      </c>
      <c r="E13">
        <v>20</v>
      </c>
      <c r="F13">
        <v>20</v>
      </c>
      <c r="G13">
        <v>20</v>
      </c>
      <c r="H13">
        <v>5</v>
      </c>
      <c r="I13">
        <f>SUM(D13:H13,O13)</f>
        <v>90</v>
      </c>
      <c r="J13" t="s">
        <v>18</v>
      </c>
      <c r="K13" t="s">
        <v>18</v>
      </c>
      <c r="L13" t="s">
        <v>18</v>
      </c>
      <c r="M13" t="s">
        <v>18</v>
      </c>
      <c r="N13" t="s">
        <v>19</v>
      </c>
      <c r="O13">
        <v>5</v>
      </c>
    </row>
    <row r="14" spans="1:15">
      <c r="A14" t="s">
        <v>15</v>
      </c>
      <c r="B14" t="s">
        <v>93</v>
      </c>
      <c r="C14" t="s">
        <v>94</v>
      </c>
      <c r="D14">
        <v>17</v>
      </c>
      <c r="E14">
        <v>17</v>
      </c>
      <c r="F14">
        <v>17</v>
      </c>
      <c r="G14">
        <v>17</v>
      </c>
      <c r="H14">
        <v>18</v>
      </c>
      <c r="I14">
        <f>SUM(D14:H14,O14)</f>
        <v>86</v>
      </c>
      <c r="J14" t="s">
        <v>95</v>
      </c>
      <c r="K14" t="s">
        <v>95</v>
      </c>
      <c r="L14" t="s">
        <v>95</v>
      </c>
      <c r="M14" t="s">
        <v>95</v>
      </c>
      <c r="N14" t="s">
        <v>96</v>
      </c>
    </row>
    <row r="15" spans="1:15">
      <c r="A15" t="s">
        <v>15</v>
      </c>
      <c r="B15" t="s">
        <v>108</v>
      </c>
      <c r="C15" t="s">
        <v>109</v>
      </c>
      <c r="D15">
        <v>12</v>
      </c>
      <c r="E15">
        <v>12</v>
      </c>
      <c r="F15">
        <v>19</v>
      </c>
      <c r="G15">
        <v>14</v>
      </c>
      <c r="H15">
        <v>18</v>
      </c>
      <c r="I15">
        <f>SUM(D15:H15,O15)</f>
        <v>75</v>
      </c>
      <c r="J15" t="s">
        <v>110</v>
      </c>
      <c r="K15" t="s">
        <v>111</v>
      </c>
      <c r="L15" t="s">
        <v>110</v>
      </c>
      <c r="M15" t="s">
        <v>112</v>
      </c>
      <c r="N15" t="s">
        <v>113</v>
      </c>
    </row>
    <row r="16" spans="1:15">
      <c r="A16" t="s">
        <v>15</v>
      </c>
      <c r="B16" t="s">
        <v>179</v>
      </c>
      <c r="C16" t="s">
        <v>180</v>
      </c>
      <c r="D16">
        <v>15</v>
      </c>
      <c r="E16">
        <v>15</v>
      </c>
      <c r="F16">
        <v>15</v>
      </c>
      <c r="G16">
        <v>15</v>
      </c>
      <c r="H16">
        <v>0</v>
      </c>
      <c r="I16">
        <f>SUM(D16:H16,O16)</f>
        <v>60</v>
      </c>
      <c r="J16" t="s">
        <v>181</v>
      </c>
      <c r="K16" t="s">
        <v>182</v>
      </c>
      <c r="L16" t="s">
        <v>124</v>
      </c>
      <c r="M16" t="s">
        <v>183</v>
      </c>
      <c r="N16" t="s">
        <v>124</v>
      </c>
    </row>
    <row r="17" spans="1:15">
      <c r="A17" t="s">
        <v>15</v>
      </c>
      <c r="B17" t="s">
        <v>144</v>
      </c>
      <c r="C17" t="s">
        <v>145</v>
      </c>
      <c r="D17">
        <v>16</v>
      </c>
      <c r="E17">
        <v>16</v>
      </c>
      <c r="F17">
        <v>16</v>
      </c>
      <c r="G17">
        <v>16</v>
      </c>
      <c r="H17">
        <v>15</v>
      </c>
      <c r="I17">
        <f>SUM(D17:H17,O17)</f>
        <v>84</v>
      </c>
      <c r="J17" t="s">
        <v>146</v>
      </c>
      <c r="K17" t="s">
        <v>146</v>
      </c>
      <c r="L17" t="s">
        <v>146</v>
      </c>
      <c r="M17" t="s">
        <v>146</v>
      </c>
      <c r="N17" t="s">
        <v>147</v>
      </c>
      <c r="O17">
        <v>5</v>
      </c>
    </row>
    <row r="18" spans="1:15">
      <c r="A18" t="s">
        <v>15</v>
      </c>
      <c r="B18" t="s">
        <v>29</v>
      </c>
      <c r="C18" t="s">
        <v>30</v>
      </c>
      <c r="D18">
        <v>19</v>
      </c>
      <c r="E18">
        <v>19</v>
      </c>
      <c r="F18">
        <v>19</v>
      </c>
      <c r="G18">
        <v>19</v>
      </c>
      <c r="H18">
        <v>10</v>
      </c>
      <c r="I18">
        <f>SUM(D18:H18,O18)</f>
        <v>86</v>
      </c>
      <c r="J18" t="s">
        <v>31</v>
      </c>
      <c r="K18" t="s">
        <v>31</v>
      </c>
      <c r="L18" t="s">
        <v>31</v>
      </c>
      <c r="M18" t="s">
        <v>31</v>
      </c>
      <c r="N18" t="s">
        <v>32</v>
      </c>
    </row>
    <row r="19" spans="1:15">
      <c r="A19" t="s">
        <v>15</v>
      </c>
      <c r="B19" t="s">
        <v>101</v>
      </c>
      <c r="C19" t="s">
        <v>102</v>
      </c>
      <c r="D19">
        <v>17</v>
      </c>
      <c r="E19">
        <v>17</v>
      </c>
      <c r="F19">
        <v>17</v>
      </c>
      <c r="G19">
        <v>17</v>
      </c>
      <c r="H19">
        <v>16</v>
      </c>
      <c r="I19">
        <f>SUM(D19:H19,O19)</f>
        <v>89</v>
      </c>
      <c r="J19" t="s">
        <v>103</v>
      </c>
      <c r="K19" t="s">
        <v>103</v>
      </c>
      <c r="L19" t="s">
        <v>103</v>
      </c>
      <c r="M19" t="s">
        <v>103</v>
      </c>
      <c r="N19" t="s">
        <v>104</v>
      </c>
      <c r="O19">
        <v>5</v>
      </c>
    </row>
    <row r="20" spans="1:15">
      <c r="A20" t="s">
        <v>15</v>
      </c>
      <c r="B20" t="s">
        <v>97</v>
      </c>
      <c r="C20" t="s">
        <v>98</v>
      </c>
      <c r="D20">
        <v>16</v>
      </c>
      <c r="E20">
        <v>16</v>
      </c>
      <c r="F20">
        <v>16</v>
      </c>
      <c r="G20">
        <v>16</v>
      </c>
      <c r="H20">
        <v>20</v>
      </c>
      <c r="I20">
        <f>SUM(D20:H20,O20)</f>
        <v>89</v>
      </c>
      <c r="J20" t="s">
        <v>99</v>
      </c>
      <c r="K20" t="s">
        <v>99</v>
      </c>
      <c r="L20" t="s">
        <v>99</v>
      </c>
      <c r="M20" t="s">
        <v>99</v>
      </c>
      <c r="N20" t="s">
        <v>100</v>
      </c>
      <c r="O20">
        <v>5</v>
      </c>
    </row>
    <row r="21" spans="1:15">
      <c r="A21" t="s">
        <v>15</v>
      </c>
      <c r="B21" t="s">
        <v>85</v>
      </c>
      <c r="C21" t="s">
        <v>86</v>
      </c>
      <c r="D21">
        <v>17</v>
      </c>
      <c r="E21">
        <v>17</v>
      </c>
      <c r="F21">
        <v>17</v>
      </c>
      <c r="G21">
        <v>17</v>
      </c>
      <c r="H21">
        <v>20</v>
      </c>
      <c r="I21">
        <f>SUM(D21:H21,O21)</f>
        <v>93</v>
      </c>
      <c r="J21" t="s">
        <v>87</v>
      </c>
      <c r="K21" t="s">
        <v>87</v>
      </c>
      <c r="L21" t="s">
        <v>87</v>
      </c>
      <c r="M21" t="s">
        <v>87</v>
      </c>
      <c r="N21" t="s">
        <v>88</v>
      </c>
      <c r="O21">
        <v>5</v>
      </c>
    </row>
    <row r="22" spans="1:15">
      <c r="A22" t="s">
        <v>15</v>
      </c>
      <c r="B22" t="s">
        <v>49</v>
      </c>
      <c r="C22" t="s">
        <v>50</v>
      </c>
      <c r="D22">
        <v>19</v>
      </c>
      <c r="E22">
        <v>19</v>
      </c>
      <c r="F22">
        <v>19</v>
      </c>
      <c r="G22">
        <v>19</v>
      </c>
      <c r="H22">
        <v>17</v>
      </c>
      <c r="I22">
        <f>SUM(D22:H22,O22)</f>
        <v>93</v>
      </c>
      <c r="J22" t="s">
        <v>51</v>
      </c>
      <c r="K22" t="s">
        <v>51</v>
      </c>
      <c r="L22" t="s">
        <v>51</v>
      </c>
      <c r="M22" t="s">
        <v>51</v>
      </c>
      <c r="N22" t="s">
        <v>52</v>
      </c>
    </row>
    <row r="23" spans="1:15">
      <c r="A23" t="s">
        <v>15</v>
      </c>
      <c r="B23" t="s">
        <v>170</v>
      </c>
      <c r="C23" t="s">
        <v>171</v>
      </c>
      <c r="D23">
        <v>19</v>
      </c>
      <c r="E23">
        <v>18</v>
      </c>
      <c r="F23">
        <v>18</v>
      </c>
      <c r="G23">
        <v>18</v>
      </c>
      <c r="H23">
        <v>5</v>
      </c>
      <c r="I23">
        <f>SUM(D23:H23,O23)</f>
        <v>83</v>
      </c>
      <c r="J23" t="s">
        <v>172</v>
      </c>
      <c r="K23" t="s">
        <v>173</v>
      </c>
      <c r="L23" t="s">
        <v>174</v>
      </c>
      <c r="M23" t="s">
        <v>175</v>
      </c>
      <c r="N23" t="s">
        <v>124</v>
      </c>
      <c r="O23">
        <v>5</v>
      </c>
    </row>
    <row r="24" spans="1:15">
      <c r="A24" t="s">
        <v>15</v>
      </c>
      <c r="B24" t="s">
        <v>137</v>
      </c>
      <c r="C24" t="s">
        <v>138</v>
      </c>
      <c r="D24">
        <v>20</v>
      </c>
      <c r="E24">
        <v>20</v>
      </c>
      <c r="F24">
        <v>20</v>
      </c>
      <c r="G24">
        <v>20</v>
      </c>
      <c r="H24">
        <v>0</v>
      </c>
      <c r="I24">
        <f>SUM(D24:H24,O24)</f>
        <v>85</v>
      </c>
      <c r="J24" t="s">
        <v>139</v>
      </c>
      <c r="K24" t="s">
        <v>139</v>
      </c>
      <c r="L24" t="s">
        <v>139</v>
      </c>
      <c r="M24" t="s">
        <v>139</v>
      </c>
      <c r="N24" t="s">
        <v>124</v>
      </c>
      <c r="O24">
        <v>5</v>
      </c>
    </row>
    <row r="25" spans="1:15">
      <c r="A25" t="s">
        <v>15</v>
      </c>
      <c r="B25" t="s">
        <v>129</v>
      </c>
      <c r="C25" t="s">
        <v>130</v>
      </c>
      <c r="D25">
        <v>16</v>
      </c>
      <c r="E25">
        <v>16</v>
      </c>
      <c r="F25">
        <v>16</v>
      </c>
      <c r="G25">
        <v>16</v>
      </c>
      <c r="H25">
        <v>15</v>
      </c>
      <c r="I25">
        <v>80</v>
      </c>
      <c r="J25" t="s">
        <v>131</v>
      </c>
      <c r="K25" t="s">
        <v>131</v>
      </c>
      <c r="L25" t="s">
        <v>131</v>
      </c>
      <c r="M25" t="s">
        <v>131</v>
      </c>
      <c r="N25" t="s">
        <v>132</v>
      </c>
    </row>
    <row r="26" spans="1:15">
      <c r="A26" t="s">
        <v>15</v>
      </c>
      <c r="B26" t="s">
        <v>68</v>
      </c>
      <c r="C26" t="s">
        <v>69</v>
      </c>
      <c r="D26">
        <v>18</v>
      </c>
      <c r="E26">
        <v>18</v>
      </c>
      <c r="F26">
        <v>18</v>
      </c>
      <c r="G26">
        <v>18</v>
      </c>
      <c r="H26">
        <v>17</v>
      </c>
      <c r="I26">
        <f>SUM(D26:H26,O26)</f>
        <v>94</v>
      </c>
      <c r="J26" t="s">
        <v>70</v>
      </c>
      <c r="K26" t="s">
        <v>70</v>
      </c>
      <c r="L26" t="s">
        <v>70</v>
      </c>
      <c r="M26" t="s">
        <v>70</v>
      </c>
      <c r="N26" t="s">
        <v>71</v>
      </c>
      <c r="O26">
        <v>5</v>
      </c>
    </row>
    <row r="27" spans="1:15">
      <c r="A27" t="s">
        <v>15</v>
      </c>
      <c r="B27" t="s">
        <v>64</v>
      </c>
      <c r="C27" t="s">
        <v>65</v>
      </c>
      <c r="D27">
        <v>19</v>
      </c>
      <c r="E27">
        <v>19</v>
      </c>
      <c r="F27">
        <v>19</v>
      </c>
      <c r="G27">
        <v>19</v>
      </c>
      <c r="H27">
        <v>16</v>
      </c>
      <c r="I27">
        <f>SUM(D27:H27,O27)</f>
        <v>97</v>
      </c>
      <c r="J27" t="s">
        <v>66</v>
      </c>
      <c r="K27" t="s">
        <v>66</v>
      </c>
      <c r="L27" t="s">
        <v>66</v>
      </c>
      <c r="M27" t="s">
        <v>66</v>
      </c>
      <c r="N27" t="s">
        <v>67</v>
      </c>
      <c r="O27">
        <v>5</v>
      </c>
    </row>
    <row r="28" spans="1:15">
      <c r="A28" t="s">
        <v>15</v>
      </c>
      <c r="B28" t="s">
        <v>133</v>
      </c>
      <c r="C28" t="s">
        <v>134</v>
      </c>
      <c r="D28">
        <v>16</v>
      </c>
      <c r="E28">
        <v>16</v>
      </c>
      <c r="F28">
        <v>16</v>
      </c>
      <c r="G28">
        <v>16</v>
      </c>
      <c r="H28">
        <v>16</v>
      </c>
      <c r="I28">
        <f>SUM(D28:H28,O28)</f>
        <v>85</v>
      </c>
      <c r="J28" t="s">
        <v>135</v>
      </c>
      <c r="K28" t="s">
        <v>135</v>
      </c>
      <c r="L28" t="s">
        <v>135</v>
      </c>
      <c r="M28" t="s">
        <v>135</v>
      </c>
      <c r="N28" t="s">
        <v>136</v>
      </c>
      <c r="O28">
        <v>5</v>
      </c>
    </row>
    <row r="29" spans="1:15">
      <c r="A29" t="s">
        <v>15</v>
      </c>
      <c r="B29" t="s">
        <v>25</v>
      </c>
      <c r="C29" t="s">
        <v>26</v>
      </c>
      <c r="D29">
        <v>20</v>
      </c>
      <c r="E29">
        <v>20</v>
      </c>
      <c r="F29">
        <v>20</v>
      </c>
      <c r="G29">
        <v>20</v>
      </c>
      <c r="H29">
        <v>17</v>
      </c>
      <c r="I29">
        <f>SUM(D29:H29,O29)</f>
        <v>97</v>
      </c>
      <c r="J29" t="s">
        <v>27</v>
      </c>
      <c r="K29" t="s">
        <v>27</v>
      </c>
      <c r="L29" t="s">
        <v>27</v>
      </c>
      <c r="M29" t="s">
        <v>27</v>
      </c>
      <c r="N29" t="s">
        <v>28</v>
      </c>
    </row>
    <row r="30" spans="1:15">
      <c r="A30" t="s">
        <v>15</v>
      </c>
      <c r="B30" t="s">
        <v>151</v>
      </c>
      <c r="C30" t="s">
        <v>152</v>
      </c>
      <c r="D30">
        <v>18</v>
      </c>
      <c r="E30">
        <v>18</v>
      </c>
      <c r="F30">
        <v>15</v>
      </c>
      <c r="G30">
        <v>15</v>
      </c>
      <c r="H30">
        <v>20</v>
      </c>
      <c r="I30">
        <f>SUM(D30:H30,O30)</f>
        <v>91</v>
      </c>
      <c r="J30" t="s">
        <v>153</v>
      </c>
      <c r="K30" t="s">
        <v>154</v>
      </c>
      <c r="L30" t="s">
        <v>155</v>
      </c>
      <c r="M30" t="s">
        <v>156</v>
      </c>
      <c r="N30" t="s">
        <v>157</v>
      </c>
      <c r="O30">
        <v>5</v>
      </c>
    </row>
    <row r="31" spans="1:15">
      <c r="A31" t="s">
        <v>15</v>
      </c>
      <c r="B31" t="s">
        <v>167</v>
      </c>
      <c r="C31" t="s">
        <v>168</v>
      </c>
      <c r="D31">
        <v>18</v>
      </c>
      <c r="E31">
        <v>18</v>
      </c>
      <c r="F31">
        <v>18</v>
      </c>
      <c r="G31">
        <v>17</v>
      </c>
      <c r="H31">
        <v>20</v>
      </c>
      <c r="I31">
        <f>SUM(D31:H31,O31)</f>
        <v>96</v>
      </c>
      <c r="J31" t="s">
        <v>169</v>
      </c>
      <c r="K31" t="s">
        <v>169</v>
      </c>
      <c r="L31" t="s">
        <v>169</v>
      </c>
      <c r="M31" t="s">
        <v>169</v>
      </c>
      <c r="N31" t="s">
        <v>124</v>
      </c>
      <c r="O31">
        <v>5</v>
      </c>
    </row>
    <row r="32" spans="1:15">
      <c r="A32" t="s">
        <v>15</v>
      </c>
      <c r="B32" t="s">
        <v>37</v>
      </c>
      <c r="C32" t="s">
        <v>38</v>
      </c>
      <c r="D32">
        <v>19</v>
      </c>
      <c r="E32">
        <v>19</v>
      </c>
      <c r="F32">
        <v>19</v>
      </c>
      <c r="G32">
        <v>19</v>
      </c>
      <c r="H32">
        <v>19</v>
      </c>
      <c r="I32">
        <f>SUM(D32:H32,O32)</f>
        <v>100</v>
      </c>
      <c r="J32" t="s">
        <v>39</v>
      </c>
      <c r="K32" t="s">
        <v>39</v>
      </c>
      <c r="L32" t="s">
        <v>39</v>
      </c>
      <c r="M32" t="s">
        <v>39</v>
      </c>
      <c r="N32" t="s">
        <v>40</v>
      </c>
      <c r="O32">
        <v>5</v>
      </c>
    </row>
    <row r="33" spans="1:15">
      <c r="A33" t="s">
        <v>15</v>
      </c>
      <c r="B33" t="s">
        <v>33</v>
      </c>
      <c r="C33" t="s">
        <v>34</v>
      </c>
      <c r="D33">
        <v>19</v>
      </c>
      <c r="E33">
        <v>19</v>
      </c>
      <c r="F33">
        <v>19</v>
      </c>
      <c r="G33">
        <v>19</v>
      </c>
      <c r="H33">
        <v>20</v>
      </c>
      <c r="I33">
        <f>SUM(D33:H33,O33)</f>
        <v>96</v>
      </c>
      <c r="J33" t="s">
        <v>35</v>
      </c>
      <c r="K33" t="s">
        <v>35</v>
      </c>
      <c r="L33" t="s">
        <v>35</v>
      </c>
      <c r="M33" t="s">
        <v>35</v>
      </c>
      <c r="N33" t="s">
        <v>36</v>
      </c>
    </row>
    <row r="34" spans="1:15">
      <c r="A34" t="s">
        <v>15</v>
      </c>
      <c r="B34" t="s">
        <v>45</v>
      </c>
      <c r="C34" t="s">
        <v>46</v>
      </c>
      <c r="D34">
        <v>19</v>
      </c>
      <c r="E34">
        <v>19</v>
      </c>
      <c r="F34">
        <v>19</v>
      </c>
      <c r="G34">
        <v>19</v>
      </c>
      <c r="H34">
        <v>18</v>
      </c>
      <c r="I34">
        <f>SUM(D34:H34,O34)</f>
        <v>99</v>
      </c>
      <c r="J34" t="s">
        <v>47</v>
      </c>
      <c r="K34" t="s">
        <v>47</v>
      </c>
      <c r="L34" t="s">
        <v>47</v>
      </c>
      <c r="M34" t="s">
        <v>47</v>
      </c>
      <c r="N34" t="s">
        <v>48</v>
      </c>
      <c r="O34">
        <v>5</v>
      </c>
    </row>
    <row r="35" spans="1:15">
      <c r="A35" t="s">
        <v>15</v>
      </c>
      <c r="B35" t="s">
        <v>117</v>
      </c>
      <c r="C35" t="s">
        <v>118</v>
      </c>
      <c r="D35">
        <v>16</v>
      </c>
      <c r="E35">
        <v>16</v>
      </c>
      <c r="F35">
        <v>16</v>
      </c>
      <c r="G35">
        <v>16</v>
      </c>
      <c r="H35">
        <v>16</v>
      </c>
      <c r="I35">
        <f>SUM(D35:H35,O35)</f>
        <v>85</v>
      </c>
      <c r="J35" t="s">
        <v>119</v>
      </c>
      <c r="K35" t="s">
        <v>119</v>
      </c>
      <c r="L35" t="s">
        <v>119</v>
      </c>
      <c r="M35" t="s">
        <v>119</v>
      </c>
      <c r="N35" t="s">
        <v>120</v>
      </c>
      <c r="O35">
        <v>5</v>
      </c>
    </row>
    <row r="36" spans="1:15">
      <c r="A36" t="s">
        <v>15</v>
      </c>
      <c r="B36" t="s">
        <v>73</v>
      </c>
      <c r="C36" t="s">
        <v>74</v>
      </c>
      <c r="D36">
        <v>20</v>
      </c>
      <c r="E36">
        <v>20</v>
      </c>
      <c r="F36">
        <v>20</v>
      </c>
      <c r="G36">
        <v>20</v>
      </c>
      <c r="H36">
        <v>5</v>
      </c>
      <c r="I36">
        <f>SUM(D36:H36,O36)</f>
        <v>90</v>
      </c>
      <c r="J36" t="s">
        <v>75</v>
      </c>
      <c r="K36" t="s">
        <v>75</v>
      </c>
      <c r="L36" t="s">
        <v>75</v>
      </c>
      <c r="M36" t="s">
        <v>75</v>
      </c>
      <c r="N36" t="s">
        <v>76</v>
      </c>
      <c r="O36">
        <v>5</v>
      </c>
    </row>
    <row r="37" spans="1:15">
      <c r="A37" t="s">
        <v>15</v>
      </c>
      <c r="B37" t="s">
        <v>89</v>
      </c>
      <c r="C37" t="s">
        <v>90</v>
      </c>
      <c r="D37">
        <v>17</v>
      </c>
      <c r="E37">
        <v>17</v>
      </c>
      <c r="F37">
        <v>17</v>
      </c>
      <c r="G37">
        <v>17</v>
      </c>
      <c r="H37">
        <v>18</v>
      </c>
      <c r="I37">
        <f>SUM(D37:H37,O37)</f>
        <v>91</v>
      </c>
      <c r="J37" t="s">
        <v>91</v>
      </c>
      <c r="K37" t="s">
        <v>91</v>
      </c>
      <c r="L37" t="s">
        <v>91</v>
      </c>
      <c r="M37" t="s">
        <v>91</v>
      </c>
      <c r="N37" t="s">
        <v>92</v>
      </c>
      <c r="O37">
        <v>5</v>
      </c>
    </row>
    <row r="38" spans="1:15">
      <c r="A38" t="s">
        <v>15</v>
      </c>
      <c r="B38" t="s">
        <v>53</v>
      </c>
      <c r="C38" t="s">
        <v>54</v>
      </c>
      <c r="D38">
        <v>19</v>
      </c>
      <c r="E38">
        <v>19</v>
      </c>
      <c r="F38">
        <v>19</v>
      </c>
      <c r="G38">
        <v>19</v>
      </c>
      <c r="H38">
        <v>17</v>
      </c>
      <c r="I38">
        <f>SUM(D38:H38,O38)</f>
        <v>98</v>
      </c>
      <c r="J38" t="s">
        <v>55</v>
      </c>
      <c r="K38" t="s">
        <v>55</v>
      </c>
      <c r="L38" t="s">
        <v>55</v>
      </c>
      <c r="M38" t="s">
        <v>55</v>
      </c>
      <c r="N38" t="s">
        <v>56</v>
      </c>
      <c r="O38">
        <v>5</v>
      </c>
    </row>
    <row r="39" spans="1:15">
      <c r="A39" t="s">
        <v>15</v>
      </c>
      <c r="B39" t="s">
        <v>77</v>
      </c>
      <c r="C39" t="s">
        <v>78</v>
      </c>
      <c r="D39">
        <v>18</v>
      </c>
      <c r="E39">
        <v>18</v>
      </c>
      <c r="F39">
        <v>18</v>
      </c>
      <c r="G39">
        <v>18</v>
      </c>
      <c r="H39">
        <v>17</v>
      </c>
      <c r="I39">
        <f>SUM(D39:H39,O39)</f>
        <v>94</v>
      </c>
      <c r="J39" t="s">
        <v>79</v>
      </c>
      <c r="K39" t="s">
        <v>79</v>
      </c>
      <c r="L39" t="s">
        <v>79</v>
      </c>
      <c r="M39" t="s">
        <v>79</v>
      </c>
      <c r="N39" t="s">
        <v>80</v>
      </c>
      <c r="O39">
        <v>5</v>
      </c>
    </row>
    <row r="40" spans="1:15">
      <c r="A40" t="s">
        <v>15</v>
      </c>
      <c r="B40" t="s">
        <v>148</v>
      </c>
      <c r="C40" t="s">
        <v>149</v>
      </c>
      <c r="D40">
        <v>19</v>
      </c>
      <c r="E40">
        <v>19</v>
      </c>
      <c r="F40">
        <v>19</v>
      </c>
      <c r="G40">
        <v>19</v>
      </c>
      <c r="H40">
        <v>15</v>
      </c>
      <c r="I40">
        <f>SUM(D40:H40,O40)</f>
        <v>91</v>
      </c>
      <c r="J40" t="s">
        <v>150</v>
      </c>
      <c r="K40" t="s">
        <v>150</v>
      </c>
      <c r="L40" t="s">
        <v>150</v>
      </c>
      <c r="M40" t="s">
        <v>150</v>
      </c>
      <c r="N40" t="s">
        <v>124</v>
      </c>
    </row>
    <row r="41" spans="1:15">
      <c r="A41" t="s">
        <v>15</v>
      </c>
      <c r="B41" t="s">
        <v>121</v>
      </c>
      <c r="C41" t="s">
        <v>122</v>
      </c>
      <c r="D41">
        <v>20</v>
      </c>
      <c r="E41">
        <v>20</v>
      </c>
      <c r="F41">
        <v>20</v>
      </c>
      <c r="G41">
        <v>20</v>
      </c>
      <c r="H41">
        <v>15</v>
      </c>
      <c r="I41">
        <v>98</v>
      </c>
      <c r="J41" t="s">
        <v>123</v>
      </c>
      <c r="K41" t="s">
        <v>123</v>
      </c>
      <c r="L41" t="s">
        <v>123</v>
      </c>
      <c r="M41" t="s">
        <v>123</v>
      </c>
      <c r="N41" t="s">
        <v>124</v>
      </c>
      <c r="O41">
        <v>5</v>
      </c>
    </row>
    <row r="42" spans="1:15">
      <c r="A42" t="s">
        <v>15</v>
      </c>
      <c r="B42" t="s">
        <v>125</v>
      </c>
      <c r="C42" t="s">
        <v>126</v>
      </c>
      <c r="D42">
        <v>20</v>
      </c>
      <c r="E42">
        <v>20</v>
      </c>
      <c r="F42">
        <v>20</v>
      </c>
      <c r="G42">
        <v>19</v>
      </c>
      <c r="H42">
        <v>16</v>
      </c>
      <c r="I42">
        <v>98</v>
      </c>
      <c r="J42" t="s">
        <v>127</v>
      </c>
      <c r="K42" t="s">
        <v>127</v>
      </c>
      <c r="L42" t="s">
        <v>127</v>
      </c>
      <c r="M42" t="s">
        <v>128</v>
      </c>
      <c r="N42" t="s">
        <v>124</v>
      </c>
      <c r="O42">
        <v>5</v>
      </c>
    </row>
    <row r="43" spans="1:15">
      <c r="A43" t="s">
        <v>15</v>
      </c>
      <c r="B43" t="s">
        <v>21</v>
      </c>
      <c r="C43" t="s">
        <v>22</v>
      </c>
      <c r="D43">
        <v>20</v>
      </c>
      <c r="E43">
        <v>20</v>
      </c>
      <c r="F43">
        <v>20</v>
      </c>
      <c r="G43">
        <v>20</v>
      </c>
      <c r="H43">
        <v>19</v>
      </c>
      <c r="I43">
        <v>98</v>
      </c>
      <c r="J43" t="s">
        <v>23</v>
      </c>
      <c r="K43" t="s">
        <v>23</v>
      </c>
      <c r="L43" t="s">
        <v>23</v>
      </c>
      <c r="M43" t="s">
        <v>23</v>
      </c>
      <c r="N43" t="s">
        <v>24</v>
      </c>
    </row>
    <row r="44" spans="1:15">
      <c r="I44">
        <f>AVERAGE(I2:I43)</f>
        <v>89.142857142857139</v>
      </c>
    </row>
  </sheetData>
  <autoFilter ref="A1:O1" xr:uid="{00000000-0001-0000-0100-000000000000}">
    <sortState xmlns:xlrd2="http://schemas.microsoft.com/office/spreadsheetml/2017/richdata2" ref="A2:O43">
      <sortCondition ref="B1:B43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4"/>
  <sheetViews>
    <sheetView topLeftCell="B1" zoomScale="150" zoomScaleNormal="150" workbookViewId="0">
      <selection activeCell="O2" sqref="O2"/>
    </sheetView>
  </sheetViews>
  <sheetFormatPr baseColWidth="10" defaultColWidth="8.83203125" defaultRowHeight="14"/>
  <cols>
    <col min="1" max="1" width="17.6640625" customWidth="1"/>
    <col min="2" max="2" width="25.33203125" customWidth="1"/>
    <col min="10" max="10" width="41.6640625" hidden="1" customWidth="1"/>
    <col min="11" max="11" width="37.83203125" hidden="1" customWidth="1"/>
    <col min="12" max="12" width="0" hidden="1" customWidth="1"/>
    <col min="13" max="13" width="36.6640625" hidden="1" customWidth="1"/>
    <col min="14" max="14" width="71.6640625" hidden="1" customWidth="1"/>
    <col min="15" max="15" width="71.6640625" customWidth="1"/>
    <col min="16" max="16" width="63.6640625" customWidth="1"/>
    <col min="17" max="17" width="49.66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383</v>
      </c>
      <c r="P1" t="s">
        <v>14</v>
      </c>
    </row>
    <row r="2" spans="1:16">
      <c r="A2" t="s">
        <v>184</v>
      </c>
      <c r="B2" t="s">
        <v>339</v>
      </c>
      <c r="C2" t="s">
        <v>340</v>
      </c>
      <c r="D2">
        <v>18</v>
      </c>
      <c r="E2">
        <v>18</v>
      </c>
      <c r="F2">
        <v>18</v>
      </c>
      <c r="G2">
        <v>18</v>
      </c>
      <c r="H2">
        <v>20</v>
      </c>
      <c r="I2">
        <f>SUM(D2:H2)+O2</f>
        <v>92</v>
      </c>
      <c r="J2" t="s">
        <v>341</v>
      </c>
      <c r="K2" t="s">
        <v>341</v>
      </c>
      <c r="L2" t="s">
        <v>341</v>
      </c>
      <c r="M2" t="s">
        <v>341</v>
      </c>
      <c r="N2" t="s">
        <v>124</v>
      </c>
    </row>
    <row r="3" spans="1:16">
      <c r="A3" t="s">
        <v>184</v>
      </c>
      <c r="B3" t="s">
        <v>213</v>
      </c>
      <c r="C3" t="s">
        <v>214</v>
      </c>
      <c r="D3">
        <v>19</v>
      </c>
      <c r="E3">
        <v>19</v>
      </c>
      <c r="F3">
        <v>19</v>
      </c>
      <c r="G3">
        <v>19</v>
      </c>
      <c r="H3">
        <v>20</v>
      </c>
      <c r="I3">
        <f>SUM(D3:H3)+O3</f>
        <v>96</v>
      </c>
      <c r="J3" t="s">
        <v>215</v>
      </c>
      <c r="K3" t="s">
        <v>215</v>
      </c>
      <c r="L3" t="s">
        <v>215</v>
      </c>
      <c r="M3" t="s">
        <v>215</v>
      </c>
      <c r="N3" t="s">
        <v>216</v>
      </c>
      <c r="P3" t="s">
        <v>20</v>
      </c>
    </row>
    <row r="4" spans="1:16">
      <c r="A4" t="s">
        <v>184</v>
      </c>
      <c r="B4" t="s">
        <v>342</v>
      </c>
      <c r="C4" t="s">
        <v>343</v>
      </c>
      <c r="D4">
        <v>20</v>
      </c>
      <c r="E4">
        <v>18</v>
      </c>
      <c r="F4">
        <v>18</v>
      </c>
      <c r="G4">
        <v>18</v>
      </c>
      <c r="H4">
        <v>5</v>
      </c>
      <c r="I4">
        <f>SUM(D4:H4)+O4</f>
        <v>79</v>
      </c>
      <c r="J4" t="s">
        <v>344</v>
      </c>
      <c r="K4" t="s">
        <v>345</v>
      </c>
      <c r="L4" t="s">
        <v>346</v>
      </c>
      <c r="M4" t="s">
        <v>347</v>
      </c>
      <c r="N4" t="s">
        <v>124</v>
      </c>
    </row>
    <row r="5" spans="1:16">
      <c r="A5" t="s">
        <v>184</v>
      </c>
      <c r="B5" t="s">
        <v>225</v>
      </c>
      <c r="C5" t="s">
        <v>226</v>
      </c>
      <c r="D5">
        <v>18</v>
      </c>
      <c r="E5">
        <v>18</v>
      </c>
      <c r="F5">
        <v>18</v>
      </c>
      <c r="G5">
        <v>18</v>
      </c>
      <c r="H5">
        <v>20</v>
      </c>
      <c r="I5">
        <f>SUM(D5:H5)+O5</f>
        <v>92</v>
      </c>
      <c r="J5" t="s">
        <v>227</v>
      </c>
      <c r="K5" t="s">
        <v>227</v>
      </c>
      <c r="L5" t="s">
        <v>227</v>
      </c>
      <c r="M5" t="s">
        <v>227</v>
      </c>
      <c r="N5" t="s">
        <v>228</v>
      </c>
      <c r="P5" t="s">
        <v>20</v>
      </c>
    </row>
    <row r="6" spans="1:16">
      <c r="A6" t="s">
        <v>184</v>
      </c>
      <c r="B6" t="s">
        <v>217</v>
      </c>
      <c r="C6" t="s">
        <v>218</v>
      </c>
      <c r="D6">
        <v>19</v>
      </c>
      <c r="E6">
        <v>19</v>
      </c>
      <c r="F6">
        <v>19</v>
      </c>
      <c r="G6">
        <v>19</v>
      </c>
      <c r="H6">
        <v>20</v>
      </c>
      <c r="I6">
        <f>SUM(D6:H6)+O6</f>
        <v>96</v>
      </c>
      <c r="J6" t="s">
        <v>219</v>
      </c>
      <c r="K6" t="s">
        <v>219</v>
      </c>
      <c r="L6" t="s">
        <v>219</v>
      </c>
      <c r="M6" t="s">
        <v>219</v>
      </c>
      <c r="N6" t="s">
        <v>220</v>
      </c>
      <c r="P6" t="s">
        <v>20</v>
      </c>
    </row>
    <row r="7" spans="1:16">
      <c r="A7" t="s">
        <v>184</v>
      </c>
      <c r="B7" t="s">
        <v>189</v>
      </c>
      <c r="C7" t="s">
        <v>190</v>
      </c>
      <c r="D7">
        <v>20</v>
      </c>
      <c r="E7">
        <v>20</v>
      </c>
      <c r="F7">
        <v>20</v>
      </c>
      <c r="G7">
        <v>20</v>
      </c>
      <c r="H7">
        <v>19</v>
      </c>
      <c r="I7">
        <v>98</v>
      </c>
      <c r="J7" t="s">
        <v>191</v>
      </c>
      <c r="K7" t="s">
        <v>191</v>
      </c>
      <c r="L7" t="s">
        <v>191</v>
      </c>
      <c r="M7" t="s">
        <v>191</v>
      </c>
      <c r="N7" t="s">
        <v>192</v>
      </c>
      <c r="O7">
        <v>5</v>
      </c>
      <c r="P7" t="s">
        <v>20</v>
      </c>
    </row>
    <row r="8" spans="1:16">
      <c r="A8" t="s">
        <v>184</v>
      </c>
      <c r="B8" t="s">
        <v>354</v>
      </c>
      <c r="C8" t="s">
        <v>355</v>
      </c>
      <c r="D8">
        <v>19</v>
      </c>
      <c r="E8">
        <v>17</v>
      </c>
      <c r="F8">
        <v>19</v>
      </c>
      <c r="G8">
        <v>19</v>
      </c>
      <c r="H8">
        <v>5</v>
      </c>
      <c r="I8">
        <f>SUM(D8:H8)+O8</f>
        <v>84</v>
      </c>
      <c r="J8" t="s">
        <v>356</v>
      </c>
      <c r="K8" t="s">
        <v>357</v>
      </c>
      <c r="L8" t="s">
        <v>358</v>
      </c>
      <c r="M8" t="s">
        <v>359</v>
      </c>
      <c r="N8" t="s">
        <v>124</v>
      </c>
      <c r="O8">
        <v>5</v>
      </c>
    </row>
    <row r="9" spans="1:16">
      <c r="A9" t="s">
        <v>184</v>
      </c>
      <c r="B9" t="s">
        <v>311</v>
      </c>
      <c r="C9" t="s">
        <v>312</v>
      </c>
      <c r="D9">
        <v>16</v>
      </c>
      <c r="E9">
        <v>19</v>
      </c>
      <c r="F9">
        <v>15</v>
      </c>
      <c r="G9">
        <v>12</v>
      </c>
      <c r="H9">
        <v>19</v>
      </c>
      <c r="I9">
        <f>SUM(D9:H9)+O9</f>
        <v>86</v>
      </c>
      <c r="J9" t="s">
        <v>313</v>
      </c>
      <c r="K9" t="s">
        <v>314</v>
      </c>
      <c r="L9" t="s">
        <v>315</v>
      </c>
      <c r="M9" t="s">
        <v>316</v>
      </c>
      <c r="N9" t="s">
        <v>317</v>
      </c>
      <c r="O9">
        <v>5</v>
      </c>
      <c r="P9" t="s">
        <v>20</v>
      </c>
    </row>
    <row r="10" spans="1:16">
      <c r="A10" t="s">
        <v>184</v>
      </c>
      <c r="B10" t="s">
        <v>331</v>
      </c>
      <c r="C10" t="s">
        <v>332</v>
      </c>
      <c r="D10">
        <v>16</v>
      </c>
      <c r="E10">
        <v>16</v>
      </c>
      <c r="F10">
        <v>16</v>
      </c>
      <c r="G10">
        <v>12</v>
      </c>
      <c r="H10">
        <v>12</v>
      </c>
      <c r="I10">
        <f>SUM(D10:H10)+O10</f>
        <v>77</v>
      </c>
      <c r="J10" t="s">
        <v>333</v>
      </c>
      <c r="K10" t="s">
        <v>334</v>
      </c>
      <c r="L10" t="s">
        <v>335</v>
      </c>
      <c r="M10" t="s">
        <v>336</v>
      </c>
      <c r="N10" t="s">
        <v>337</v>
      </c>
      <c r="O10">
        <v>5</v>
      </c>
      <c r="P10" t="s">
        <v>338</v>
      </c>
    </row>
    <row r="11" spans="1:16">
      <c r="A11" t="s">
        <v>184</v>
      </c>
      <c r="B11" t="s">
        <v>284</v>
      </c>
      <c r="C11" t="s">
        <v>285</v>
      </c>
      <c r="D11">
        <v>15</v>
      </c>
      <c r="E11">
        <v>16</v>
      </c>
      <c r="F11">
        <v>15</v>
      </c>
      <c r="G11">
        <v>15</v>
      </c>
      <c r="H11">
        <v>20</v>
      </c>
      <c r="I11">
        <f>SUM(D11:H11)+O11</f>
        <v>86</v>
      </c>
      <c r="J11" t="s">
        <v>286</v>
      </c>
      <c r="K11" t="s">
        <v>287</v>
      </c>
      <c r="L11" t="s">
        <v>288</v>
      </c>
      <c r="M11" t="s">
        <v>289</v>
      </c>
      <c r="N11" t="s">
        <v>290</v>
      </c>
      <c r="O11">
        <v>5</v>
      </c>
      <c r="P11" t="s">
        <v>20</v>
      </c>
    </row>
    <row r="12" spans="1:16">
      <c r="A12" t="s">
        <v>184</v>
      </c>
      <c r="B12" t="s">
        <v>269</v>
      </c>
      <c r="C12" t="s">
        <v>270</v>
      </c>
      <c r="D12">
        <v>16</v>
      </c>
      <c r="E12">
        <v>16</v>
      </c>
      <c r="F12">
        <v>16</v>
      </c>
      <c r="G12">
        <v>16</v>
      </c>
      <c r="H12">
        <v>20</v>
      </c>
      <c r="I12">
        <f>SUM(D12:H12)+O12</f>
        <v>84</v>
      </c>
      <c r="J12" t="s">
        <v>271</v>
      </c>
      <c r="K12" t="s">
        <v>271</v>
      </c>
      <c r="L12" t="s">
        <v>271</v>
      </c>
      <c r="M12" t="s">
        <v>271</v>
      </c>
      <c r="N12" t="s">
        <v>263</v>
      </c>
      <c r="P12" t="s">
        <v>20</v>
      </c>
    </row>
    <row r="13" spans="1:16">
      <c r="A13" t="s">
        <v>184</v>
      </c>
      <c r="B13" t="s">
        <v>366</v>
      </c>
      <c r="C13" t="s">
        <v>367</v>
      </c>
      <c r="D13">
        <v>16</v>
      </c>
      <c r="E13">
        <v>16</v>
      </c>
      <c r="F13">
        <v>14</v>
      </c>
      <c r="G13">
        <v>16</v>
      </c>
      <c r="H13">
        <v>20</v>
      </c>
      <c r="I13">
        <f>SUM(D13:H13)+O13</f>
        <v>82</v>
      </c>
      <c r="J13" t="s">
        <v>368</v>
      </c>
      <c r="K13" t="s">
        <v>369</v>
      </c>
      <c r="L13" t="s">
        <v>370</v>
      </c>
      <c r="M13" t="s">
        <v>371</v>
      </c>
      <c r="N13" t="s">
        <v>124</v>
      </c>
    </row>
    <row r="14" spans="1:16">
      <c r="A14" t="s">
        <v>184</v>
      </c>
      <c r="B14" t="s">
        <v>291</v>
      </c>
      <c r="C14" t="s">
        <v>292</v>
      </c>
      <c r="D14">
        <v>15</v>
      </c>
      <c r="E14">
        <v>16</v>
      </c>
      <c r="F14">
        <v>15</v>
      </c>
      <c r="G14">
        <v>14</v>
      </c>
      <c r="H14">
        <v>20</v>
      </c>
      <c r="I14">
        <f>SUM(D14:H14)+O14</f>
        <v>85</v>
      </c>
      <c r="J14" t="s">
        <v>293</v>
      </c>
      <c r="K14" t="s">
        <v>294</v>
      </c>
      <c r="L14" t="s">
        <v>295</v>
      </c>
      <c r="M14" t="s">
        <v>296</v>
      </c>
      <c r="N14" t="s">
        <v>297</v>
      </c>
      <c r="O14">
        <v>5</v>
      </c>
      <c r="P14" t="s">
        <v>20</v>
      </c>
    </row>
    <row r="15" spans="1:16">
      <c r="A15" t="s">
        <v>184</v>
      </c>
      <c r="B15" t="s">
        <v>209</v>
      </c>
      <c r="C15" t="s">
        <v>210</v>
      </c>
      <c r="D15">
        <v>20</v>
      </c>
      <c r="E15">
        <v>20</v>
      </c>
      <c r="F15">
        <v>20</v>
      </c>
      <c r="G15">
        <v>20</v>
      </c>
      <c r="H15">
        <v>15</v>
      </c>
      <c r="I15">
        <f>SUM(D15:H15)+O15</f>
        <v>96</v>
      </c>
      <c r="J15" t="s">
        <v>211</v>
      </c>
      <c r="K15" t="s">
        <v>211</v>
      </c>
      <c r="L15" t="s">
        <v>211</v>
      </c>
      <c r="M15" t="s">
        <v>211</v>
      </c>
      <c r="N15" t="s">
        <v>212</v>
      </c>
      <c r="O15">
        <v>1</v>
      </c>
      <c r="P15" t="s">
        <v>72</v>
      </c>
    </row>
    <row r="16" spans="1:16">
      <c r="A16" t="s">
        <v>184</v>
      </c>
      <c r="B16" t="s">
        <v>185</v>
      </c>
      <c r="C16" t="s">
        <v>186</v>
      </c>
      <c r="D16">
        <v>20</v>
      </c>
      <c r="E16">
        <v>20</v>
      </c>
      <c r="F16">
        <v>20</v>
      </c>
      <c r="G16">
        <v>20</v>
      </c>
      <c r="H16">
        <v>20</v>
      </c>
      <c r="I16">
        <v>98</v>
      </c>
      <c r="J16" t="s">
        <v>187</v>
      </c>
      <c r="K16" t="s">
        <v>187</v>
      </c>
      <c r="L16" t="s">
        <v>187</v>
      </c>
      <c r="M16" t="s">
        <v>187</v>
      </c>
      <c r="N16" t="s">
        <v>188</v>
      </c>
      <c r="O16">
        <v>5</v>
      </c>
      <c r="P16" t="s">
        <v>20</v>
      </c>
    </row>
    <row r="17" spans="1:16">
      <c r="A17" t="s">
        <v>184</v>
      </c>
      <c r="B17" t="s">
        <v>302</v>
      </c>
      <c r="C17" t="s">
        <v>303</v>
      </c>
      <c r="D17">
        <v>14</v>
      </c>
      <c r="E17">
        <v>17</v>
      </c>
      <c r="F17">
        <v>14</v>
      </c>
      <c r="G17">
        <v>13</v>
      </c>
      <c r="H17">
        <v>20</v>
      </c>
      <c r="I17">
        <f>SUM(D17:H17)+O17</f>
        <v>83</v>
      </c>
      <c r="J17" t="s">
        <v>304</v>
      </c>
      <c r="K17" t="s">
        <v>305</v>
      </c>
      <c r="L17" t="s">
        <v>306</v>
      </c>
      <c r="M17" t="s">
        <v>307</v>
      </c>
      <c r="N17" t="s">
        <v>188</v>
      </c>
      <c r="O17">
        <v>5</v>
      </c>
      <c r="P17" t="s">
        <v>20</v>
      </c>
    </row>
    <row r="18" spans="1:16">
      <c r="A18" t="s">
        <v>184</v>
      </c>
      <c r="B18" t="s">
        <v>264</v>
      </c>
      <c r="C18" t="s">
        <v>265</v>
      </c>
      <c r="D18">
        <v>19</v>
      </c>
      <c r="E18">
        <v>19</v>
      </c>
      <c r="F18">
        <v>19</v>
      </c>
      <c r="G18">
        <v>14</v>
      </c>
      <c r="H18">
        <v>18</v>
      </c>
      <c r="I18">
        <f>SUM(D18:H18)+O18</f>
        <v>89</v>
      </c>
      <c r="J18" t="s">
        <v>266</v>
      </c>
      <c r="K18" t="s">
        <v>266</v>
      </c>
      <c r="L18" t="s">
        <v>266</v>
      </c>
      <c r="M18" t="s">
        <v>267</v>
      </c>
      <c r="N18" t="s">
        <v>268</v>
      </c>
      <c r="P18" t="s">
        <v>20</v>
      </c>
    </row>
    <row r="19" spans="1:16">
      <c r="A19" t="s">
        <v>184</v>
      </c>
      <c r="B19" t="s">
        <v>276</v>
      </c>
      <c r="C19" t="s">
        <v>277</v>
      </c>
      <c r="D19">
        <v>17</v>
      </c>
      <c r="E19">
        <v>17</v>
      </c>
      <c r="F19">
        <v>17</v>
      </c>
      <c r="G19">
        <v>17</v>
      </c>
      <c r="H19">
        <v>16</v>
      </c>
      <c r="I19">
        <f>SUM(D19:H19)+O19</f>
        <v>89</v>
      </c>
      <c r="J19" t="s">
        <v>278</v>
      </c>
      <c r="K19" t="s">
        <v>278</v>
      </c>
      <c r="L19" t="s">
        <v>278</v>
      </c>
      <c r="M19" t="s">
        <v>278</v>
      </c>
      <c r="N19" t="s">
        <v>279</v>
      </c>
      <c r="O19">
        <v>5</v>
      </c>
      <c r="P19" t="s">
        <v>20</v>
      </c>
    </row>
    <row r="20" spans="1:16">
      <c r="A20" t="s">
        <v>184</v>
      </c>
      <c r="B20" t="s">
        <v>298</v>
      </c>
      <c r="C20" t="s">
        <v>299</v>
      </c>
      <c r="D20">
        <v>16</v>
      </c>
      <c r="E20">
        <v>16</v>
      </c>
      <c r="F20">
        <v>15</v>
      </c>
      <c r="G20">
        <v>15</v>
      </c>
      <c r="H20">
        <v>19</v>
      </c>
      <c r="I20">
        <f>SUM(D20:H20)+O20</f>
        <v>86</v>
      </c>
      <c r="J20" t="s">
        <v>300</v>
      </c>
      <c r="K20" t="s">
        <v>300</v>
      </c>
      <c r="L20" t="s">
        <v>300</v>
      </c>
      <c r="M20" t="s">
        <v>300</v>
      </c>
      <c r="N20" t="s">
        <v>301</v>
      </c>
      <c r="O20">
        <v>5</v>
      </c>
      <c r="P20" t="s">
        <v>20</v>
      </c>
    </row>
    <row r="21" spans="1:16">
      <c r="A21" t="s">
        <v>184</v>
      </c>
      <c r="B21" t="s">
        <v>229</v>
      </c>
      <c r="C21" t="s">
        <v>230</v>
      </c>
      <c r="D21">
        <v>18</v>
      </c>
      <c r="E21">
        <v>18</v>
      </c>
      <c r="F21">
        <v>18</v>
      </c>
      <c r="G21">
        <v>18</v>
      </c>
      <c r="H21">
        <v>20</v>
      </c>
      <c r="I21">
        <f>SUM(D21:H21)+O21</f>
        <v>92</v>
      </c>
      <c r="J21" t="s">
        <v>231</v>
      </c>
      <c r="K21" t="s">
        <v>231</v>
      </c>
      <c r="L21" t="s">
        <v>231</v>
      </c>
      <c r="M21" t="s">
        <v>231</v>
      </c>
      <c r="N21" t="s">
        <v>232</v>
      </c>
      <c r="P21" t="s">
        <v>20</v>
      </c>
    </row>
    <row r="22" spans="1:16">
      <c r="A22" t="s">
        <v>184</v>
      </c>
      <c r="B22" t="s">
        <v>237</v>
      </c>
      <c r="C22" t="s">
        <v>238</v>
      </c>
      <c r="D22">
        <v>18</v>
      </c>
      <c r="E22">
        <v>18</v>
      </c>
      <c r="F22">
        <v>18</v>
      </c>
      <c r="G22">
        <v>18</v>
      </c>
      <c r="H22">
        <v>18</v>
      </c>
      <c r="I22">
        <f>SUM(D22:H22)+O22</f>
        <v>90</v>
      </c>
      <c r="J22" t="s">
        <v>239</v>
      </c>
      <c r="K22" t="s">
        <v>239</v>
      </c>
      <c r="L22" t="s">
        <v>239</v>
      </c>
      <c r="M22" t="s">
        <v>239</v>
      </c>
      <c r="N22" t="s">
        <v>240</v>
      </c>
      <c r="P22" t="s">
        <v>20</v>
      </c>
    </row>
    <row r="23" spans="1:16">
      <c r="A23" t="s">
        <v>184</v>
      </c>
      <c r="B23" t="s">
        <v>197</v>
      </c>
      <c r="C23" t="s">
        <v>198</v>
      </c>
      <c r="D23">
        <v>20</v>
      </c>
      <c r="E23">
        <v>20</v>
      </c>
      <c r="F23">
        <v>20</v>
      </c>
      <c r="G23">
        <v>20</v>
      </c>
      <c r="H23">
        <v>17</v>
      </c>
      <c r="I23">
        <f>SUM(D23:H23)+O23</f>
        <v>98</v>
      </c>
      <c r="J23" t="s">
        <v>199</v>
      </c>
      <c r="K23" t="s">
        <v>199</v>
      </c>
      <c r="L23" t="s">
        <v>199</v>
      </c>
      <c r="M23" t="s">
        <v>199</v>
      </c>
      <c r="N23" t="s">
        <v>200</v>
      </c>
      <c r="O23">
        <v>1</v>
      </c>
      <c r="P23" t="s">
        <v>72</v>
      </c>
    </row>
    <row r="24" spans="1:16">
      <c r="A24" t="s">
        <v>184</v>
      </c>
      <c r="B24" t="s">
        <v>201</v>
      </c>
      <c r="C24" t="s">
        <v>202</v>
      </c>
      <c r="D24">
        <v>20</v>
      </c>
      <c r="E24">
        <v>20</v>
      </c>
      <c r="F24">
        <v>20</v>
      </c>
      <c r="G24">
        <v>20</v>
      </c>
      <c r="H24">
        <v>17</v>
      </c>
      <c r="I24">
        <f>SUM(D24:H24)+O24</f>
        <v>98</v>
      </c>
      <c r="J24" t="s">
        <v>203</v>
      </c>
      <c r="K24" t="s">
        <v>203</v>
      </c>
      <c r="L24" t="s">
        <v>203</v>
      </c>
      <c r="M24" t="s">
        <v>203</v>
      </c>
      <c r="N24" t="s">
        <v>204</v>
      </c>
      <c r="O24">
        <v>1</v>
      </c>
      <c r="P24" t="s">
        <v>20</v>
      </c>
    </row>
    <row r="25" spans="1:16">
      <c r="A25" t="s">
        <v>184</v>
      </c>
      <c r="B25" t="s">
        <v>245</v>
      </c>
      <c r="C25" t="s">
        <v>246</v>
      </c>
      <c r="D25">
        <v>18</v>
      </c>
      <c r="E25">
        <v>18</v>
      </c>
      <c r="F25">
        <v>18</v>
      </c>
      <c r="G25">
        <v>18</v>
      </c>
      <c r="H25">
        <v>17</v>
      </c>
      <c r="I25">
        <f>SUM(D25:H25)+O25</f>
        <v>89</v>
      </c>
      <c r="J25" t="s">
        <v>247</v>
      </c>
      <c r="K25" t="s">
        <v>247</v>
      </c>
      <c r="L25" t="s">
        <v>247</v>
      </c>
      <c r="M25" t="s">
        <v>247</v>
      </c>
      <c r="N25" t="s">
        <v>248</v>
      </c>
      <c r="P25" t="s">
        <v>72</v>
      </c>
    </row>
    <row r="26" spans="1:16">
      <c r="A26" t="s">
        <v>184</v>
      </c>
      <c r="B26" t="s">
        <v>280</v>
      </c>
      <c r="C26" t="s">
        <v>281</v>
      </c>
      <c r="D26">
        <v>17</v>
      </c>
      <c r="E26">
        <v>17</v>
      </c>
      <c r="F26">
        <v>17</v>
      </c>
      <c r="G26">
        <v>17</v>
      </c>
      <c r="H26">
        <v>16</v>
      </c>
      <c r="I26">
        <f>SUM(D26:H26)+O26</f>
        <v>89</v>
      </c>
      <c r="J26" t="s">
        <v>282</v>
      </c>
      <c r="K26" t="s">
        <v>282</v>
      </c>
      <c r="L26" t="s">
        <v>282</v>
      </c>
      <c r="M26" t="s">
        <v>282</v>
      </c>
      <c r="N26" t="s">
        <v>283</v>
      </c>
      <c r="O26">
        <v>5</v>
      </c>
      <c r="P26" t="s">
        <v>20</v>
      </c>
    </row>
    <row r="27" spans="1:16">
      <c r="A27" t="s">
        <v>184</v>
      </c>
      <c r="B27" t="s">
        <v>205</v>
      </c>
      <c r="C27" t="s">
        <v>206</v>
      </c>
      <c r="D27">
        <v>20</v>
      </c>
      <c r="E27">
        <v>20</v>
      </c>
      <c r="F27">
        <v>20</v>
      </c>
      <c r="G27">
        <v>20</v>
      </c>
      <c r="H27">
        <v>16.8</v>
      </c>
      <c r="I27">
        <v>98</v>
      </c>
      <c r="J27" t="s">
        <v>207</v>
      </c>
      <c r="K27" t="s">
        <v>207</v>
      </c>
      <c r="L27" t="s">
        <v>207</v>
      </c>
      <c r="M27" t="s">
        <v>207</v>
      </c>
      <c r="N27" t="s">
        <v>208</v>
      </c>
      <c r="O27">
        <v>5</v>
      </c>
      <c r="P27" t="s">
        <v>20</v>
      </c>
    </row>
    <row r="28" spans="1:16">
      <c r="A28" t="s">
        <v>184</v>
      </c>
      <c r="B28" t="s">
        <v>257</v>
      </c>
      <c r="C28" t="s">
        <v>258</v>
      </c>
      <c r="D28">
        <v>18</v>
      </c>
      <c r="E28">
        <v>16</v>
      </c>
      <c r="F28">
        <v>17</v>
      </c>
      <c r="G28">
        <v>17</v>
      </c>
      <c r="H28">
        <v>20</v>
      </c>
      <c r="I28">
        <f>SUM(D28:H28)+O28</f>
        <v>88</v>
      </c>
      <c r="J28" t="s">
        <v>259</v>
      </c>
      <c r="K28" t="s">
        <v>260</v>
      </c>
      <c r="L28" t="s">
        <v>261</v>
      </c>
      <c r="M28" t="s">
        <v>262</v>
      </c>
      <c r="N28" t="s">
        <v>263</v>
      </c>
      <c r="P28" t="s">
        <v>20</v>
      </c>
    </row>
    <row r="29" spans="1:16">
      <c r="A29" t="s">
        <v>184</v>
      </c>
      <c r="B29" t="s">
        <v>249</v>
      </c>
      <c r="C29" t="s">
        <v>250</v>
      </c>
      <c r="D29">
        <v>18</v>
      </c>
      <c r="E29">
        <v>18</v>
      </c>
      <c r="F29">
        <v>18</v>
      </c>
      <c r="G29">
        <v>18</v>
      </c>
      <c r="H29">
        <v>17</v>
      </c>
      <c r="I29">
        <f>SUM(D29:H29)+O29</f>
        <v>89</v>
      </c>
      <c r="J29" t="s">
        <v>251</v>
      </c>
      <c r="K29" t="s">
        <v>251</v>
      </c>
      <c r="L29" t="s">
        <v>251</v>
      </c>
      <c r="M29" t="s">
        <v>251</v>
      </c>
      <c r="N29" t="s">
        <v>252</v>
      </c>
      <c r="P29" t="s">
        <v>20</v>
      </c>
    </row>
    <row r="30" spans="1:16">
      <c r="A30" t="s">
        <v>184</v>
      </c>
      <c r="B30" t="s">
        <v>318</v>
      </c>
      <c r="C30" t="s">
        <v>319</v>
      </c>
      <c r="D30">
        <v>15</v>
      </c>
      <c r="E30">
        <v>17</v>
      </c>
      <c r="F30">
        <v>16</v>
      </c>
      <c r="G30">
        <v>14</v>
      </c>
      <c r="H30">
        <v>15</v>
      </c>
      <c r="I30">
        <f>SUM(D30:H30)+O29</f>
        <v>77</v>
      </c>
      <c r="J30" t="s">
        <v>320</v>
      </c>
      <c r="K30" t="s">
        <v>321</v>
      </c>
      <c r="L30" t="s">
        <v>322</v>
      </c>
      <c r="M30" t="s">
        <v>323</v>
      </c>
      <c r="N30" t="s">
        <v>324</v>
      </c>
    </row>
    <row r="31" spans="1:16">
      <c r="A31" t="s">
        <v>184</v>
      </c>
      <c r="B31" t="s">
        <v>360</v>
      </c>
      <c r="C31" t="s">
        <v>361</v>
      </c>
      <c r="D31">
        <v>16</v>
      </c>
      <c r="E31">
        <v>15</v>
      </c>
      <c r="F31">
        <v>17</v>
      </c>
      <c r="G31">
        <v>17</v>
      </c>
      <c r="H31">
        <v>20</v>
      </c>
      <c r="I31">
        <f>SUM(D31:H31)+O31</f>
        <v>90</v>
      </c>
      <c r="J31" t="s">
        <v>362</v>
      </c>
      <c r="K31" t="s">
        <v>363</v>
      </c>
      <c r="L31" t="s">
        <v>364</v>
      </c>
      <c r="M31" t="s">
        <v>365</v>
      </c>
      <c r="N31" t="s">
        <v>124</v>
      </c>
      <c r="O31">
        <v>5</v>
      </c>
    </row>
    <row r="32" spans="1:16">
      <c r="A32" t="s">
        <v>184</v>
      </c>
      <c r="B32" t="s">
        <v>348</v>
      </c>
      <c r="C32" t="s">
        <v>349</v>
      </c>
      <c r="D32">
        <v>18</v>
      </c>
      <c r="E32">
        <v>17</v>
      </c>
      <c r="F32">
        <v>18</v>
      </c>
      <c r="G32">
        <v>18</v>
      </c>
      <c r="H32">
        <v>5</v>
      </c>
      <c r="I32">
        <f>SUM(D32:H32)+O32</f>
        <v>81</v>
      </c>
      <c r="J32" t="s">
        <v>350</v>
      </c>
      <c r="K32" t="s">
        <v>351</v>
      </c>
      <c r="L32" t="s">
        <v>352</v>
      </c>
      <c r="M32" t="s">
        <v>353</v>
      </c>
      <c r="N32" t="s">
        <v>124</v>
      </c>
      <c r="O32">
        <v>5</v>
      </c>
    </row>
    <row r="33" spans="1:16">
      <c r="A33" t="s">
        <v>184</v>
      </c>
      <c r="B33" t="s">
        <v>378</v>
      </c>
      <c r="C33" t="s">
        <v>379</v>
      </c>
      <c r="D33">
        <v>0</v>
      </c>
      <c r="E33">
        <v>10</v>
      </c>
      <c r="F33">
        <v>20</v>
      </c>
      <c r="G33">
        <v>20</v>
      </c>
      <c r="H33">
        <v>20</v>
      </c>
      <c r="I33">
        <f>SUM(D33:H33)+O33</f>
        <v>75</v>
      </c>
      <c r="J33" t="s">
        <v>124</v>
      </c>
      <c r="K33" t="s">
        <v>124</v>
      </c>
      <c r="L33" t="s">
        <v>380</v>
      </c>
      <c r="M33" t="s">
        <v>381</v>
      </c>
      <c r="N33" t="s">
        <v>124</v>
      </c>
      <c r="O33">
        <v>5</v>
      </c>
      <c r="P33" t="s">
        <v>382</v>
      </c>
    </row>
    <row r="34" spans="1:16">
      <c r="A34" t="s">
        <v>184</v>
      </c>
      <c r="B34" t="s">
        <v>272</v>
      </c>
      <c r="C34" t="s">
        <v>273</v>
      </c>
      <c r="D34">
        <v>17</v>
      </c>
      <c r="E34">
        <v>17</v>
      </c>
      <c r="F34">
        <v>17</v>
      </c>
      <c r="G34">
        <v>17</v>
      </c>
      <c r="H34">
        <v>18</v>
      </c>
      <c r="I34">
        <f>SUM(D34:H34)+O34</f>
        <v>91</v>
      </c>
      <c r="J34" t="s">
        <v>274</v>
      </c>
      <c r="K34" t="s">
        <v>274</v>
      </c>
      <c r="L34" t="s">
        <v>274</v>
      </c>
      <c r="M34" t="s">
        <v>274</v>
      </c>
      <c r="N34" t="s">
        <v>275</v>
      </c>
      <c r="O34">
        <v>5</v>
      </c>
      <c r="P34" t="s">
        <v>20</v>
      </c>
    </row>
    <row r="35" spans="1:16">
      <c r="A35" t="s">
        <v>184</v>
      </c>
      <c r="B35" t="s">
        <v>193</v>
      </c>
      <c r="C35" t="s">
        <v>194</v>
      </c>
      <c r="D35">
        <v>20</v>
      </c>
      <c r="E35">
        <v>20</v>
      </c>
      <c r="F35">
        <v>20</v>
      </c>
      <c r="G35">
        <v>20</v>
      </c>
      <c r="H35">
        <v>18.5</v>
      </c>
      <c r="I35">
        <v>98</v>
      </c>
      <c r="J35" t="s">
        <v>195</v>
      </c>
      <c r="K35" t="s">
        <v>195</v>
      </c>
      <c r="L35" t="s">
        <v>195</v>
      </c>
      <c r="M35" t="s">
        <v>195</v>
      </c>
      <c r="N35" t="s">
        <v>196</v>
      </c>
      <c r="O35">
        <v>5</v>
      </c>
      <c r="P35" t="s">
        <v>20</v>
      </c>
    </row>
    <row r="36" spans="1:16">
      <c r="A36" t="s">
        <v>184</v>
      </c>
      <c r="B36" t="s">
        <v>253</v>
      </c>
      <c r="C36" t="s">
        <v>254</v>
      </c>
      <c r="D36">
        <v>17</v>
      </c>
      <c r="E36">
        <v>17</v>
      </c>
      <c r="F36">
        <v>17</v>
      </c>
      <c r="G36">
        <v>17</v>
      </c>
      <c r="H36">
        <v>20</v>
      </c>
      <c r="I36">
        <f>SUM(D36:H36)+O36</f>
        <v>88</v>
      </c>
      <c r="J36" t="s">
        <v>255</v>
      </c>
      <c r="K36" t="s">
        <v>255</v>
      </c>
      <c r="L36" t="s">
        <v>255</v>
      </c>
      <c r="M36" t="s">
        <v>255</v>
      </c>
      <c r="N36" t="s">
        <v>256</v>
      </c>
      <c r="P36" t="s">
        <v>20</v>
      </c>
    </row>
    <row r="37" spans="1:16">
      <c r="A37" t="s">
        <v>184</v>
      </c>
      <c r="B37" t="s">
        <v>328</v>
      </c>
      <c r="C37" t="s">
        <v>329</v>
      </c>
      <c r="D37">
        <v>18</v>
      </c>
      <c r="E37">
        <v>18</v>
      </c>
      <c r="F37">
        <v>18</v>
      </c>
      <c r="G37">
        <v>18</v>
      </c>
      <c r="H37">
        <v>12</v>
      </c>
      <c r="I37">
        <f>SUM(D37:H37)+O37</f>
        <v>84</v>
      </c>
      <c r="J37" t="s">
        <v>330</v>
      </c>
      <c r="K37" t="s">
        <v>330</v>
      </c>
      <c r="L37" t="s">
        <v>330</v>
      </c>
      <c r="M37" t="s">
        <v>330</v>
      </c>
      <c r="N37" t="s">
        <v>124</v>
      </c>
    </row>
    <row r="38" spans="1:16">
      <c r="A38" t="s">
        <v>184</v>
      </c>
      <c r="B38" t="s">
        <v>372</v>
      </c>
      <c r="C38" t="s">
        <v>373</v>
      </c>
      <c r="D38">
        <v>18</v>
      </c>
      <c r="E38">
        <v>18</v>
      </c>
      <c r="F38">
        <v>18</v>
      </c>
      <c r="G38">
        <v>18</v>
      </c>
      <c r="H38">
        <v>20</v>
      </c>
      <c r="I38">
        <f>SUM(D38:H38)+O38</f>
        <v>97</v>
      </c>
      <c r="J38" t="s">
        <v>374</v>
      </c>
      <c r="K38" t="s">
        <v>375</v>
      </c>
      <c r="L38" t="s">
        <v>376</v>
      </c>
      <c r="M38" t="s">
        <v>377</v>
      </c>
      <c r="N38" t="s">
        <v>124</v>
      </c>
      <c r="O38">
        <v>5</v>
      </c>
      <c r="P38" t="s">
        <v>382</v>
      </c>
    </row>
    <row r="39" spans="1:16">
      <c r="A39" t="s">
        <v>184</v>
      </c>
      <c r="B39" t="s">
        <v>241</v>
      </c>
      <c r="C39" t="s">
        <v>242</v>
      </c>
      <c r="D39">
        <v>19</v>
      </c>
      <c r="E39">
        <v>19</v>
      </c>
      <c r="F39">
        <v>19</v>
      </c>
      <c r="G39">
        <v>19</v>
      </c>
      <c r="H39">
        <v>16</v>
      </c>
      <c r="I39">
        <f>SUM(D39:H39)+O39</f>
        <v>92</v>
      </c>
      <c r="J39" t="s">
        <v>243</v>
      </c>
      <c r="K39" t="s">
        <v>243</v>
      </c>
      <c r="L39" t="s">
        <v>243</v>
      </c>
      <c r="M39" t="s">
        <v>243</v>
      </c>
      <c r="N39" t="s">
        <v>244</v>
      </c>
      <c r="P39" t="s">
        <v>20</v>
      </c>
    </row>
    <row r="40" spans="1:16">
      <c r="A40" t="s">
        <v>184</v>
      </c>
      <c r="B40" t="s">
        <v>233</v>
      </c>
      <c r="C40" t="s">
        <v>234</v>
      </c>
      <c r="D40">
        <v>20</v>
      </c>
      <c r="E40">
        <v>20</v>
      </c>
      <c r="F40">
        <v>20</v>
      </c>
      <c r="G40">
        <v>20</v>
      </c>
      <c r="H40">
        <v>11</v>
      </c>
      <c r="I40">
        <f>SUM(D40:H40)+O40</f>
        <v>91</v>
      </c>
      <c r="J40" t="s">
        <v>235</v>
      </c>
      <c r="K40" t="s">
        <v>235</v>
      </c>
      <c r="L40" t="s">
        <v>235</v>
      </c>
      <c r="M40" t="s">
        <v>235</v>
      </c>
      <c r="N40" t="s">
        <v>236</v>
      </c>
    </row>
    <row r="41" spans="1:16">
      <c r="A41" t="s">
        <v>184</v>
      </c>
      <c r="B41" t="s">
        <v>325</v>
      </c>
      <c r="C41" t="s">
        <v>326</v>
      </c>
      <c r="D41">
        <v>19</v>
      </c>
      <c r="E41">
        <v>19</v>
      </c>
      <c r="F41">
        <v>19</v>
      </c>
      <c r="G41">
        <v>19</v>
      </c>
      <c r="H41">
        <v>15</v>
      </c>
      <c r="I41">
        <f>SUM(D41:H41)+O41</f>
        <v>96</v>
      </c>
      <c r="J41" t="s">
        <v>327</v>
      </c>
      <c r="K41" t="s">
        <v>327</v>
      </c>
      <c r="L41" t="s">
        <v>327</v>
      </c>
      <c r="M41" t="s">
        <v>327</v>
      </c>
      <c r="N41" t="s">
        <v>124</v>
      </c>
      <c r="O41">
        <v>5</v>
      </c>
    </row>
    <row r="42" spans="1:16">
      <c r="A42" t="s">
        <v>184</v>
      </c>
      <c r="B42" t="s">
        <v>221</v>
      </c>
      <c r="C42" t="s">
        <v>222</v>
      </c>
      <c r="D42">
        <v>19</v>
      </c>
      <c r="E42">
        <v>19</v>
      </c>
      <c r="F42">
        <v>19</v>
      </c>
      <c r="G42">
        <v>19</v>
      </c>
      <c r="H42">
        <v>20</v>
      </c>
      <c r="I42">
        <f>SUM(D42:H42)+O42</f>
        <v>96</v>
      </c>
      <c r="J42" t="s">
        <v>223</v>
      </c>
      <c r="K42" t="s">
        <v>223</v>
      </c>
      <c r="L42" t="s">
        <v>223</v>
      </c>
      <c r="M42" t="s">
        <v>223</v>
      </c>
      <c r="N42" t="s">
        <v>224</v>
      </c>
      <c r="P42" t="s">
        <v>20</v>
      </c>
    </row>
    <row r="43" spans="1:16">
      <c r="A43" t="s">
        <v>184</v>
      </c>
      <c r="B43" t="s">
        <v>308</v>
      </c>
      <c r="C43" t="s">
        <v>309</v>
      </c>
      <c r="D43">
        <v>20</v>
      </c>
      <c r="E43">
        <v>20</v>
      </c>
      <c r="F43">
        <v>20</v>
      </c>
      <c r="G43">
        <v>20</v>
      </c>
      <c r="H43">
        <v>12</v>
      </c>
      <c r="I43">
        <f>SUM(D43:H43)+O43</f>
        <v>97</v>
      </c>
      <c r="J43" t="s">
        <v>310</v>
      </c>
      <c r="K43" t="s">
        <v>310</v>
      </c>
      <c r="L43" t="s">
        <v>310</v>
      </c>
      <c r="M43" t="s">
        <v>310</v>
      </c>
      <c r="N43" t="s">
        <v>124</v>
      </c>
      <c r="O43">
        <v>5</v>
      </c>
    </row>
    <row r="44" spans="1:16">
      <c r="I44">
        <f>AVERAGE(I33:I43)</f>
        <v>91.36363636363636</v>
      </c>
    </row>
  </sheetData>
  <autoFilter ref="A1:P1" xr:uid="{00000000-0001-0000-0200-000000000000}">
    <sortState xmlns:xlrd2="http://schemas.microsoft.com/office/spreadsheetml/2017/richdata2" ref="A2:P44">
      <sortCondition ref="B1:B44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金融202301</vt:lpstr>
      <vt:lpstr>金融202302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shishun xiao</cp:lastModifiedBy>
  <dcterms:created xsi:type="dcterms:W3CDTF">2026-07-02T07:29:13Z</dcterms:created>
  <dcterms:modified xsi:type="dcterms:W3CDTF">2026-07-02T10:11:17Z</dcterms:modified>
</cp:coreProperties>
</file>